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tjustudents-my.sharepoint.com/personal/arm037_students_jefferson_edu/Documents/GEM_Modeling_Dec2020/DiseaseGEMPaper-Metabolites/"/>
    </mc:Choice>
  </mc:AlternateContent>
  <xr:revisionPtr revIDLastSave="18" documentId="11_662B002072795B09300FEB7222F88807D60D26A0" xr6:coauthVersionLast="47" xr6:coauthVersionMax="47" xr10:uidLastSave="{85F4C4F8-C4FD-4941-BFBB-33D13E55F48A}"/>
  <bookViews>
    <workbookView xWindow="2250" yWindow="1140" windowWidth="30060" windowHeight="17685" activeTab="1" xr2:uid="{00000000-000D-0000-FFFF-FFFF00000000}"/>
  </bookViews>
  <sheets>
    <sheet name="ALL" sheetId="10" r:id="rId1"/>
    <sheet name="Sheet3" sheetId="20" r:id="rId2"/>
    <sheet name="Age" sheetId="19" r:id="rId3"/>
    <sheet name="Sheet5" sheetId="16" r:id="rId4"/>
    <sheet name="Sheet6" sheetId="17" r:id="rId5"/>
    <sheet name="Sheet7" sheetId="18" r:id="rId6"/>
    <sheet name="Sheet1" sheetId="12" r:id="rId7"/>
    <sheet name="Sheet4" sheetId="15" r:id="rId8"/>
    <sheet name="Group ABC" sheetId="6" r:id="rId9"/>
    <sheet name="Group D" sheetId="11" r:id="rId10"/>
    <sheet name="Sheet2" sheetId="13" r:id="rId11"/>
    <sheet name="Group I" sheetId="2" r:id="rId12"/>
    <sheet name="Group E" sheetId="3" r:id="rId13"/>
    <sheet name="Group FGH" sheetId="8" r:id="rId14"/>
  </sheets>
  <definedNames>
    <definedName name="_xlnm._FilterDatabase" localSheetId="0" hidden="1">ALL!$A$1:$CD$1</definedName>
    <definedName name="_xlnm._FilterDatabase" localSheetId="8" hidden="1">'Group ABC'!$A$2:$GA$2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9" l="1"/>
  <c r="H8" i="19"/>
  <c r="H7" i="19"/>
  <c r="H6" i="19"/>
  <c r="H5" i="19"/>
  <c r="H4" i="19"/>
  <c r="H3" i="19"/>
  <c r="H2" i="19"/>
  <c r="CZ4" i="18" l="1"/>
  <c r="DA4" i="18"/>
  <c r="CZ5" i="18"/>
  <c r="DA5" i="18"/>
  <c r="CZ6" i="18"/>
  <c r="DA6" i="18"/>
  <c r="CZ7" i="18"/>
  <c r="DA7" i="18"/>
  <c r="CZ9" i="18"/>
  <c r="DA9" i="18"/>
  <c r="CZ10" i="18"/>
  <c r="DA10" i="18"/>
  <c r="CZ11" i="18"/>
  <c r="DA11" i="18"/>
  <c r="DA3" i="18"/>
  <c r="CZ3" i="18"/>
  <c r="K60" i="12"/>
  <c r="L80" i="12"/>
  <c r="K80" i="12"/>
  <c r="J80" i="12"/>
  <c r="I80" i="12"/>
  <c r="H80" i="12"/>
  <c r="G80" i="12"/>
  <c r="E80" i="12"/>
  <c r="D80" i="12"/>
  <c r="C80" i="12"/>
  <c r="K79" i="12"/>
  <c r="I79" i="12"/>
  <c r="H79" i="12"/>
  <c r="G79" i="12"/>
  <c r="E79" i="12"/>
  <c r="D79" i="12"/>
  <c r="C79" i="12"/>
  <c r="I60" i="12"/>
  <c r="H60" i="12"/>
  <c r="G60" i="12"/>
  <c r="F60" i="12"/>
  <c r="E60" i="12"/>
  <c r="D60" i="12"/>
  <c r="C60" i="12"/>
  <c r="B60" i="12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F23" i="8"/>
  <c r="G37" i="8"/>
  <c r="H37" i="8"/>
  <c r="I37" i="8"/>
  <c r="J37" i="8"/>
  <c r="K37" i="8"/>
  <c r="L37" i="8"/>
  <c r="M37" i="8"/>
  <c r="N37" i="8"/>
  <c r="O37" i="8"/>
  <c r="P37" i="8"/>
  <c r="Q37" i="8"/>
  <c r="R37" i="8"/>
  <c r="F37" i="8"/>
  <c r="G12" i="8"/>
  <c r="H12" i="8"/>
  <c r="I12" i="8"/>
  <c r="J12" i="8"/>
  <c r="K12" i="8"/>
  <c r="L12" i="8"/>
  <c r="M12" i="8"/>
  <c r="N12" i="8"/>
  <c r="O12" i="8"/>
  <c r="F12" i="8"/>
  <c r="CB4" i="11"/>
  <c r="BO18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V16" i="11"/>
  <c r="AW16" i="11"/>
  <c r="AX16" i="11"/>
  <c r="AY16" i="11"/>
  <c r="AZ16" i="11"/>
  <c r="BA16" i="11"/>
  <c r="BB16" i="11"/>
  <c r="BC16" i="11"/>
  <c r="BD16" i="11"/>
  <c r="BE16" i="11"/>
  <c r="BF16" i="11"/>
  <c r="BG16" i="11"/>
  <c r="BH16" i="11"/>
  <c r="BI16" i="11"/>
  <c r="BJ16" i="11"/>
  <c r="BK16" i="11"/>
  <c r="BL16" i="11"/>
  <c r="BM16" i="11"/>
  <c r="BN16" i="11"/>
  <c r="BO16" i="11"/>
  <c r="BP16" i="11"/>
  <c r="BQ16" i="11"/>
  <c r="BR16" i="11"/>
  <c r="BS16" i="11"/>
  <c r="BT16" i="11"/>
  <c r="BU16" i="11"/>
  <c r="BV16" i="11"/>
  <c r="BW16" i="11"/>
  <c r="BX16" i="11"/>
  <c r="BY16" i="11"/>
  <c r="BZ16" i="11"/>
  <c r="CA16" i="11"/>
  <c r="CB16" i="11"/>
  <c r="CC16" i="11"/>
  <c r="CD16" i="11"/>
  <c r="CE16" i="11"/>
  <c r="CF16" i="11"/>
  <c r="CG16" i="11"/>
  <c r="CH16" i="11"/>
  <c r="CI16" i="11"/>
  <c r="CJ16" i="11"/>
  <c r="CK16" i="11"/>
  <c r="CL16" i="11"/>
  <c r="CM16" i="11"/>
  <c r="CN16" i="11"/>
  <c r="CO16" i="11"/>
  <c r="CP16" i="11"/>
  <c r="CQ16" i="11"/>
  <c r="CR16" i="11"/>
  <c r="CS16" i="11"/>
  <c r="CT16" i="11"/>
  <c r="CU16" i="11"/>
  <c r="CV16" i="11"/>
  <c r="CW16" i="11"/>
  <c r="CX16" i="11"/>
  <c r="CY16" i="11"/>
  <c r="CZ16" i="11"/>
  <c r="DA16" i="11"/>
  <c r="DB16" i="11"/>
  <c r="DC16" i="11"/>
  <c r="DD16" i="11"/>
  <c r="DE16" i="11"/>
  <c r="DF16" i="11"/>
  <c r="DG16" i="11"/>
  <c r="DH16" i="11"/>
  <c r="DI16" i="11"/>
  <c r="DJ16" i="11"/>
  <c r="DK16" i="11"/>
  <c r="DL16" i="11"/>
  <c r="DM16" i="11"/>
  <c r="DN16" i="11"/>
  <c r="DO16" i="11"/>
  <c r="DP16" i="11"/>
  <c r="DQ16" i="11"/>
  <c r="DR16" i="11"/>
  <c r="DS16" i="11"/>
  <c r="DT16" i="11"/>
  <c r="DU16" i="11"/>
  <c r="DV16" i="11"/>
  <c r="DW16" i="11"/>
  <c r="DX16" i="11"/>
  <c r="DY16" i="11"/>
  <c r="DZ16" i="11"/>
  <c r="EA16" i="11"/>
  <c r="EB16" i="11"/>
  <c r="EC16" i="11"/>
  <c r="ED16" i="11"/>
  <c r="EE16" i="11"/>
  <c r="EF16" i="11"/>
  <c r="EG16" i="11"/>
  <c r="EH16" i="11"/>
  <c r="EI16" i="11"/>
  <c r="EJ16" i="11"/>
  <c r="EK16" i="11"/>
  <c r="EL16" i="11"/>
  <c r="EM16" i="11"/>
  <c r="EN16" i="11"/>
  <c r="EO16" i="11"/>
  <c r="EP16" i="11"/>
  <c r="EQ16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A17" i="11"/>
  <c r="BB17" i="11"/>
  <c r="BC17" i="11"/>
  <c r="BD17" i="11"/>
  <c r="BE17" i="11"/>
  <c r="BF17" i="11"/>
  <c r="BG17" i="11"/>
  <c r="BH17" i="11"/>
  <c r="BJ17" i="11"/>
  <c r="BK17" i="11"/>
  <c r="BL17" i="11"/>
  <c r="BM17" i="11"/>
  <c r="BN17" i="11"/>
  <c r="BO17" i="11"/>
  <c r="BP17" i="11"/>
  <c r="BQ17" i="11"/>
  <c r="BR17" i="11"/>
  <c r="BS17" i="11"/>
  <c r="BT17" i="11"/>
  <c r="BU17" i="11"/>
  <c r="BV17" i="11"/>
  <c r="BW17" i="11"/>
  <c r="BX17" i="11"/>
  <c r="BY17" i="11"/>
  <c r="BZ17" i="11"/>
  <c r="CA17" i="11"/>
  <c r="CD17" i="11"/>
  <c r="CE17" i="11"/>
  <c r="CF17" i="11"/>
  <c r="CG17" i="11"/>
  <c r="CH17" i="11"/>
  <c r="CI17" i="11"/>
  <c r="CJ17" i="11"/>
  <c r="CK17" i="11"/>
  <c r="CL17" i="11"/>
  <c r="CM17" i="11"/>
  <c r="CN17" i="11"/>
  <c r="CO17" i="11"/>
  <c r="CP17" i="11"/>
  <c r="CQ17" i="11"/>
  <c r="CR17" i="11"/>
  <c r="CS17" i="11"/>
  <c r="CT17" i="11"/>
  <c r="CU17" i="11"/>
  <c r="CV17" i="11"/>
  <c r="CW17" i="11"/>
  <c r="CX17" i="11"/>
  <c r="CY17" i="11"/>
  <c r="CZ17" i="11"/>
  <c r="DA17" i="11"/>
  <c r="DB17" i="11"/>
  <c r="DC17" i="11"/>
  <c r="DD17" i="11"/>
  <c r="DE17" i="11"/>
  <c r="DF17" i="11"/>
  <c r="DG17" i="11"/>
  <c r="DH17" i="11"/>
  <c r="DI17" i="11"/>
  <c r="DJ17" i="11"/>
  <c r="DK17" i="11"/>
  <c r="DL17" i="11"/>
  <c r="DM17" i="11"/>
  <c r="DN17" i="11"/>
  <c r="DO17" i="11"/>
  <c r="DP17" i="11"/>
  <c r="DQ17" i="11"/>
  <c r="DR17" i="11"/>
  <c r="DS17" i="11"/>
  <c r="DT17" i="11"/>
  <c r="DU17" i="11"/>
  <c r="DV17" i="11"/>
  <c r="DW17" i="11"/>
  <c r="DX17" i="11"/>
  <c r="DY17" i="11"/>
  <c r="DZ17" i="11"/>
  <c r="EA17" i="11"/>
  <c r="EB17" i="11"/>
  <c r="EC17" i="11"/>
  <c r="ED17" i="11"/>
  <c r="EE17" i="11"/>
  <c r="EF17" i="11"/>
  <c r="EG17" i="11"/>
  <c r="EH17" i="11"/>
  <c r="EI17" i="11"/>
  <c r="EJ17" i="11"/>
  <c r="EK17" i="11"/>
  <c r="EL17" i="11"/>
  <c r="EM17" i="11"/>
  <c r="EN17" i="11"/>
  <c r="EO17" i="11"/>
  <c r="EP17" i="11"/>
  <c r="EQ17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A18" i="11"/>
  <c r="BB18" i="11"/>
  <c r="BC18" i="11"/>
  <c r="BD18" i="11"/>
  <c r="BE18" i="11"/>
  <c r="BF18" i="11"/>
  <c r="BG18" i="11"/>
  <c r="BH18" i="11"/>
  <c r="BJ18" i="11"/>
  <c r="BK18" i="11"/>
  <c r="BL18" i="11"/>
  <c r="BM18" i="11"/>
  <c r="BN18" i="11"/>
  <c r="BP18" i="11"/>
  <c r="BQ18" i="11"/>
  <c r="BR18" i="11"/>
  <c r="BS18" i="11"/>
  <c r="BT18" i="11"/>
  <c r="BU18" i="11"/>
  <c r="BV18" i="11"/>
  <c r="BW18" i="11"/>
  <c r="BX18" i="11"/>
  <c r="BY18" i="11"/>
  <c r="BZ18" i="11"/>
  <c r="CA18" i="11"/>
  <c r="CD18" i="11"/>
  <c r="CE18" i="11"/>
  <c r="CF18" i="11"/>
  <c r="CG18" i="11"/>
  <c r="CH18" i="11"/>
  <c r="CI18" i="11"/>
  <c r="CJ18" i="11"/>
  <c r="CK18" i="11"/>
  <c r="CL18" i="11"/>
  <c r="CM18" i="11"/>
  <c r="CN18" i="11"/>
  <c r="CO18" i="11"/>
  <c r="CP18" i="11"/>
  <c r="CQ18" i="11"/>
  <c r="CR18" i="11"/>
  <c r="CS18" i="11"/>
  <c r="CT18" i="11"/>
  <c r="CU18" i="11"/>
  <c r="CV18" i="11"/>
  <c r="CW18" i="11"/>
  <c r="CX18" i="11"/>
  <c r="CY18" i="11"/>
  <c r="CZ18" i="11"/>
  <c r="DA18" i="11"/>
  <c r="DB18" i="11"/>
  <c r="DC18" i="11"/>
  <c r="DD18" i="11"/>
  <c r="DE18" i="11"/>
  <c r="DF18" i="11"/>
  <c r="DG18" i="11"/>
  <c r="DH18" i="11"/>
  <c r="DI18" i="11"/>
  <c r="DJ18" i="11"/>
  <c r="DK18" i="11"/>
  <c r="DL18" i="11"/>
  <c r="DM18" i="11"/>
  <c r="DN18" i="11"/>
  <c r="DO18" i="11"/>
  <c r="DP18" i="11"/>
  <c r="DQ18" i="11"/>
  <c r="DR18" i="11"/>
  <c r="DS18" i="11"/>
  <c r="DT18" i="11"/>
  <c r="DU18" i="11"/>
  <c r="DV18" i="11"/>
  <c r="DW18" i="11"/>
  <c r="DX18" i="11"/>
  <c r="DY18" i="11"/>
  <c r="DZ18" i="11"/>
  <c r="EA18" i="11"/>
  <c r="EB18" i="11"/>
  <c r="EC18" i="11"/>
  <c r="ED18" i="11"/>
  <c r="EE18" i="11"/>
  <c r="EF18" i="11"/>
  <c r="EG18" i="11"/>
  <c r="EH18" i="11"/>
  <c r="EI18" i="11"/>
  <c r="EJ18" i="11"/>
  <c r="EK18" i="11"/>
  <c r="EL18" i="11"/>
  <c r="EM18" i="11"/>
  <c r="EN18" i="11"/>
  <c r="EO18" i="11"/>
  <c r="EP18" i="11"/>
  <c r="EQ18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BA19" i="11"/>
  <c r="BB19" i="11"/>
  <c r="BC19" i="11"/>
  <c r="BD19" i="11"/>
  <c r="BE19" i="11"/>
  <c r="BF19" i="11"/>
  <c r="BG19" i="11"/>
  <c r="BH19" i="11"/>
  <c r="BJ19" i="11"/>
  <c r="BK19" i="11"/>
  <c r="BL19" i="11"/>
  <c r="BM19" i="11"/>
  <c r="BN19" i="11"/>
  <c r="BO19" i="11"/>
  <c r="BP19" i="11"/>
  <c r="BQ19" i="11"/>
  <c r="BR19" i="11"/>
  <c r="BS19" i="11"/>
  <c r="BT19" i="11"/>
  <c r="BU19" i="11"/>
  <c r="BV19" i="11"/>
  <c r="BW19" i="11"/>
  <c r="BX19" i="11"/>
  <c r="BY19" i="11"/>
  <c r="BZ19" i="11"/>
  <c r="CA19" i="11"/>
  <c r="CD19" i="11"/>
  <c r="CE19" i="11"/>
  <c r="CF19" i="11"/>
  <c r="CG19" i="11"/>
  <c r="CH19" i="11"/>
  <c r="CI19" i="11"/>
  <c r="CJ19" i="11"/>
  <c r="CK19" i="11"/>
  <c r="CL19" i="11"/>
  <c r="CM19" i="11"/>
  <c r="CN19" i="11"/>
  <c r="CO19" i="11"/>
  <c r="CP19" i="11"/>
  <c r="CQ19" i="11"/>
  <c r="CR19" i="11"/>
  <c r="CS19" i="11"/>
  <c r="CT19" i="11"/>
  <c r="CU19" i="11"/>
  <c r="CV19" i="11"/>
  <c r="CW19" i="11"/>
  <c r="CX19" i="11"/>
  <c r="CY19" i="11"/>
  <c r="CZ19" i="11"/>
  <c r="DA19" i="11"/>
  <c r="DB19" i="11"/>
  <c r="DC19" i="11"/>
  <c r="DD19" i="11"/>
  <c r="DE19" i="11"/>
  <c r="DF19" i="11"/>
  <c r="DG19" i="11"/>
  <c r="DH19" i="11"/>
  <c r="DI19" i="11"/>
  <c r="DJ19" i="11"/>
  <c r="DK19" i="11"/>
  <c r="DL19" i="11"/>
  <c r="DM19" i="11"/>
  <c r="DN19" i="11"/>
  <c r="DO19" i="11"/>
  <c r="DP19" i="11"/>
  <c r="DQ19" i="11"/>
  <c r="DR19" i="11"/>
  <c r="DS19" i="11"/>
  <c r="DT19" i="11"/>
  <c r="DU19" i="11"/>
  <c r="DV19" i="11"/>
  <c r="DW19" i="11"/>
  <c r="DX19" i="11"/>
  <c r="DY19" i="11"/>
  <c r="DZ19" i="11"/>
  <c r="EA19" i="11"/>
  <c r="EB19" i="11"/>
  <c r="EC19" i="11"/>
  <c r="ED19" i="11"/>
  <c r="EE19" i="11"/>
  <c r="EF19" i="11"/>
  <c r="EG19" i="11"/>
  <c r="EH19" i="11"/>
  <c r="EI19" i="11"/>
  <c r="EJ19" i="11"/>
  <c r="EK19" i="11"/>
  <c r="EL19" i="11"/>
  <c r="EM19" i="11"/>
  <c r="EN19" i="11"/>
  <c r="EO19" i="11"/>
  <c r="EP19" i="11"/>
  <c r="EQ19" i="11"/>
  <c r="F19" i="11"/>
  <c r="F18" i="11"/>
  <c r="F16" i="11"/>
  <c r="F17" i="11"/>
  <c r="CB5" i="11"/>
  <c r="CB6" i="11"/>
  <c r="CB8" i="11"/>
  <c r="CB9" i="11"/>
  <c r="CB10" i="11"/>
  <c r="CB11" i="11"/>
  <c r="CB12" i="11"/>
  <c r="CB13" i="11"/>
  <c r="CA6" i="11"/>
  <c r="CA5" i="11"/>
  <c r="CA8" i="11"/>
  <c r="CA9" i="11"/>
  <c r="CA10" i="11"/>
  <c r="CA12" i="11"/>
  <c r="CA4" i="11"/>
  <c r="BH10" i="11"/>
  <c r="BH9" i="11"/>
  <c r="BH8" i="11"/>
  <c r="BH7" i="11"/>
  <c r="BH6" i="11"/>
  <c r="BH3" i="11"/>
  <c r="BH4" i="11"/>
  <c r="BH12" i="11"/>
  <c r="BH5" i="11"/>
  <c r="CB17" i="11" l="1"/>
  <c r="BI18" i="11"/>
  <c r="CB19" i="11"/>
  <c r="CC17" i="11"/>
  <c r="BI19" i="11"/>
  <c r="CC18" i="11"/>
  <c r="BI17" i="11"/>
  <c r="CB18" i="11"/>
  <c r="CC19" i="11"/>
</calcChain>
</file>

<file path=xl/sharedStrings.xml><?xml version="1.0" encoding="utf-8"?>
<sst xmlns="http://schemas.openxmlformats.org/spreadsheetml/2006/main" count="5957" uniqueCount="750">
  <si>
    <t>#</t>
  </si>
  <si>
    <t>Group_Seq</t>
  </si>
  <si>
    <t>ID_Seq</t>
  </si>
  <si>
    <t>Age</t>
  </si>
  <si>
    <t>Sex</t>
  </si>
  <si>
    <t>Date_Birth</t>
  </si>
  <si>
    <t>Date_Admission</t>
  </si>
  <si>
    <t>Date_Biopsy</t>
  </si>
  <si>
    <t>Date_Labs</t>
  </si>
  <si>
    <t>HVPG_Biopsy_Date</t>
  </si>
  <si>
    <t xml:space="preserve">Hemoglobin_g/L </t>
  </si>
  <si>
    <t>Leukocyte_109/L</t>
  </si>
  <si>
    <t>Platelet_109/L</t>
  </si>
  <si>
    <t>AST_U/L</t>
  </si>
  <si>
    <t>ALT_U/L</t>
  </si>
  <si>
    <t>GGT</t>
  </si>
  <si>
    <t>ALP</t>
  </si>
  <si>
    <t>Tot_Bilirubin_mg/dL</t>
  </si>
  <si>
    <t>PT_%</t>
  </si>
  <si>
    <t>PT_sec</t>
  </si>
  <si>
    <t>INR_original</t>
  </si>
  <si>
    <t>INR_calc11</t>
  </si>
  <si>
    <t>Albumin_g/dL</t>
  </si>
  <si>
    <t>Creatinine_mg/dL</t>
  </si>
  <si>
    <t>Na</t>
  </si>
  <si>
    <t>Weight_Kg</t>
  </si>
  <si>
    <t>Height_m</t>
  </si>
  <si>
    <t>BMI</t>
  </si>
  <si>
    <t>Systolic_BP</t>
  </si>
  <si>
    <t>Diastolic_BP</t>
  </si>
  <si>
    <t>Glucose_mg/dl</t>
  </si>
  <si>
    <t>Cholesterol</t>
  </si>
  <si>
    <t>Triglycerides</t>
  </si>
  <si>
    <t>Biopsy_Length_cm</t>
  </si>
  <si>
    <t>Fibrosis</t>
  </si>
  <si>
    <t>Cirrhosis_1</t>
  </si>
  <si>
    <t>Lobular_Fibrosis</t>
  </si>
  <si>
    <t>Pericellular fibrosis</t>
  </si>
  <si>
    <t>Steatosis</t>
  </si>
  <si>
    <t>Mallory-Denk bodies</t>
  </si>
  <si>
    <t>Bilirubinostasis</t>
  </si>
  <si>
    <t>Ballooning</t>
  </si>
  <si>
    <t>Giant_mitochondria</t>
  </si>
  <si>
    <t>PMN_infiltration</t>
  </si>
  <si>
    <t>Inflammatory grade</t>
  </si>
  <si>
    <t>Child_clase</t>
  </si>
  <si>
    <t>Child_puntos</t>
  </si>
  <si>
    <t>MELD</t>
  </si>
  <si>
    <t>ABIC_puntos</t>
  </si>
  <si>
    <t>ABIC_clase</t>
  </si>
  <si>
    <t>Tratamiento</t>
  </si>
  <si>
    <t>Lille</t>
  </si>
  <si>
    <t>Bili_7</t>
  </si>
  <si>
    <t>Lille_Respuesta</t>
  </si>
  <si>
    <t>Status_90d</t>
  </si>
  <si>
    <t>Exitus_ingreso</t>
  </si>
  <si>
    <t>Ascitis0</t>
  </si>
  <si>
    <t>Encefalopatia0</t>
  </si>
  <si>
    <t>Infecciones0</t>
  </si>
  <si>
    <t>Infec0_tipo</t>
  </si>
  <si>
    <t>Shock_septico</t>
  </si>
  <si>
    <t>FR0</t>
  </si>
  <si>
    <t>FC0</t>
  </si>
  <si>
    <t>Temperatura</t>
  </si>
  <si>
    <t>Notes</t>
  </si>
  <si>
    <t>MOD_Liver_SOFA</t>
  </si>
  <si>
    <t>PCR</t>
  </si>
  <si>
    <t>AKI</t>
  </si>
  <si>
    <t>MDF2</t>
  </si>
  <si>
    <t>AHHS_Fibrosis</t>
  </si>
  <si>
    <t>AHHS_PMN</t>
  </si>
  <si>
    <t>AHHS_Bilirrubinostasis</t>
  </si>
  <si>
    <t>AHHS_Megamitocondrias</t>
  </si>
  <si>
    <t>AHHS_Score</t>
  </si>
  <si>
    <t>AHHS_Clase</t>
  </si>
  <si>
    <t>Seguimiento_90d</t>
  </si>
  <si>
    <t>maddrey_modif</t>
  </si>
  <si>
    <t>A</t>
  </si>
  <si>
    <t>INTEAM_A01</t>
  </si>
  <si>
    <t>AH Sev Resp</t>
  </si>
  <si>
    <t>male</t>
  </si>
  <si>
    <t xml:space="preserve"> </t>
  </si>
  <si>
    <t>Bacteriemia</t>
  </si>
  <si>
    <t>TOH 28/5/11</t>
  </si>
  <si>
    <t>INTEAM_A02</t>
  </si>
  <si>
    <t>female</t>
  </si>
  <si>
    <t>INTEAM_A03</t>
  </si>
  <si>
    <t>INTEAM_A04</t>
  </si>
  <si>
    <t>??? Respondedor?? Según el día de la analítica...</t>
  </si>
  <si>
    <t>INTEAM_A05</t>
  </si>
  <si>
    <t>ITU</t>
  </si>
  <si>
    <t>INTEAM_A06</t>
  </si>
  <si>
    <t>PBE</t>
  </si>
  <si>
    <t>INTEAM_A07</t>
  </si>
  <si>
    <t>Analítica del día de la BHTY (llevaba días ingresada:UCI, shock...)</t>
  </si>
  <si>
    <t>INTEAM_A08</t>
  </si>
  <si>
    <t>Traslado desde otro centro</t>
  </si>
  <si>
    <t>INTEAM_A09</t>
  </si>
  <si>
    <t>B</t>
  </si>
  <si>
    <t>INTEAM_B10</t>
  </si>
  <si>
    <t>AH Sev NResp</t>
  </si>
  <si>
    <t>Reingreso por neumonía a los 15 días del alta: Probable NIH - Medidas de confort: Insf Resp??? Shock??? MOD???</t>
  </si>
  <si>
    <t>INTEAM_B11</t>
  </si>
  <si>
    <t>???Respondedora??? Antecedentes de NAFLD, Cirugía bariátrica (ahora obsesa)</t>
  </si>
  <si>
    <t>INTEAM_B12</t>
  </si>
  <si>
    <t>Traslado desde Olot (ingresada el día anterior). MetilPDN: non-responder--&gt; pentoxi</t>
  </si>
  <si>
    <t>INTEAM_B13</t>
  </si>
  <si>
    <t>También VHC (2300 copias)</t>
  </si>
  <si>
    <t>INTEAM_B14</t>
  </si>
  <si>
    <t>INTEAM_B15</t>
  </si>
  <si>
    <t>Neumonía</t>
  </si>
  <si>
    <t>No Biopsia ni tratamiento por muy mal pronóstico</t>
  </si>
  <si>
    <t>INTEAM_B16</t>
  </si>
  <si>
    <t>Leucocitosis al ingreso: ceftriaxona. Luego fiebre: ertapenem. Cultivos negativos.</t>
  </si>
  <si>
    <t>Tenía Neo vesical (RTU: AP infiltrante, estaba pendiente de IQ; no extensión en pruebas de imagen)</t>
  </si>
  <si>
    <t>INTEAM_B17</t>
  </si>
  <si>
    <t>Febrícula el primer día (hasta 37,7)</t>
  </si>
  <si>
    <t>INTEAM_B18</t>
  </si>
  <si>
    <t>C</t>
  </si>
  <si>
    <t>INTEAM_C19</t>
  </si>
  <si>
    <t>AH Non Sev</t>
  </si>
  <si>
    <t>INTEAM_C20</t>
  </si>
  <si>
    <t>INTEAM_C21</t>
  </si>
  <si>
    <t>INTEAM_C22</t>
  </si>
  <si>
    <t>Vivo el 26/7/11? Recetas en HC3?</t>
  </si>
  <si>
    <t>INTEAM_C23</t>
  </si>
  <si>
    <t>Hemoperitoneo tras BHTY</t>
  </si>
  <si>
    <t>INTEAM_C24</t>
  </si>
  <si>
    <t>Ingreso electivo para estudio</t>
  </si>
  <si>
    <t>INTEAM_C25</t>
  </si>
  <si>
    <t>Ingreso BOX para hemodinámica + BHTY</t>
  </si>
  <si>
    <t>INTEAM_C26</t>
  </si>
  <si>
    <t>ADK in situ en FCS antes del ingreso. Después IQ, reIQ por fallo de sutura...</t>
  </si>
  <si>
    <t>INTEAM_C27</t>
  </si>
  <si>
    <t>Ingresó en BOX para HDCA, no hay constantes en SAP</t>
  </si>
  <si>
    <t>INTEAM_C28</t>
  </si>
  <si>
    <t>Fuga a las 48h de ingreso</t>
  </si>
  <si>
    <t>INTEAM_C29</t>
  </si>
  <si>
    <t>Dicen eupneica en Urgencias</t>
  </si>
  <si>
    <t>D</t>
  </si>
  <si>
    <t>INTEAM_D30</t>
  </si>
  <si>
    <t>Explants AH</t>
  </si>
  <si>
    <t>nd</t>
  </si>
  <si>
    <t>transfert du Havre pour HAA corticoR, TPH 17/08/2008-Comorb:HTA</t>
  </si>
  <si>
    <t>ND</t>
  </si>
  <si>
    <t>INTEAM_D31</t>
  </si>
  <si>
    <t>fièvre sans point d'appel retrouvé</t>
  </si>
  <si>
    <t>Adressée de Dunkerque pour HAA corticoR, TH le 28/08/08-Comorb:HTA, diabète de type 2</t>
  </si>
  <si>
    <t>INTEAM_D32</t>
  </si>
  <si>
    <t>infection urinaire</t>
  </si>
  <si>
    <t>Corpentox Haa corticorésistante greffé le 9/06/2009-Comorb:hypercholestérolémie</t>
  </si>
  <si>
    <t>INTEAM_D33</t>
  </si>
  <si>
    <t>cystite puis septicémie sur prostatite</t>
  </si>
  <si>
    <t>Adressé de Dunkerque pour HAA corticoR, TH le 08/07/10-Comorb:</t>
  </si>
  <si>
    <t>INTEAM_D34</t>
  </si>
  <si>
    <t xml:space="preserve">adressée de Nantes pour HAA corticoresistante/ TH 16/06/2011-Comorb:syndrome anxiodepressif, </t>
  </si>
  <si>
    <t>INTEAM_D35</t>
  </si>
  <si>
    <t>ISLA puis bactériémie puis pneumopathie</t>
  </si>
  <si>
    <t>TH le 08/03/2012 (entre J21 et J28)-Comorb:tabac 30 PA</t>
  </si>
  <si>
    <t>INTEAM_D36</t>
  </si>
  <si>
    <t>Transfert Rouen pr avis sur TH, TH le 06 mai 2012-Comorb:</t>
  </si>
  <si>
    <t>INTEAM_D37</t>
  </si>
  <si>
    <t>TH le 8/8/12-Comorb:Asthme non sevère traité par AIROMIR</t>
  </si>
  <si>
    <t>INTEAM_D38</t>
  </si>
  <si>
    <t>INTEAM_D39</t>
  </si>
  <si>
    <t>pyélonephrite à E Coli</t>
  </si>
  <si>
    <t>HAA corticoR TH le 21/11/2013-Comorb:PTH gauche, cholécystectomie</t>
  </si>
  <si>
    <t>INTEAM_D40</t>
  </si>
  <si>
    <t>E</t>
  </si>
  <si>
    <t>INTEAM_E41</t>
  </si>
  <si>
    <t>Early ASH</t>
  </si>
  <si>
    <t>INTEAM_E42</t>
  </si>
  <si>
    <t>INTEAM_E43</t>
  </si>
  <si>
    <t>INTEAM_E44</t>
  </si>
  <si>
    <t>INTEAM_E45</t>
  </si>
  <si>
    <t>INTEAM_E46</t>
  </si>
  <si>
    <t>INTEAM_E47</t>
  </si>
  <si>
    <t>INTEAM_E48</t>
  </si>
  <si>
    <t>INTEAM_E49</t>
  </si>
  <si>
    <t>INTEAM_E50</t>
  </si>
  <si>
    <t>INTEAM_E51</t>
  </si>
  <si>
    <t>INTEAM_E52</t>
  </si>
  <si>
    <t>F</t>
  </si>
  <si>
    <t>INTEAM_F53</t>
  </si>
  <si>
    <t>HCV</t>
  </si>
  <si>
    <t>INTEAM_F54</t>
  </si>
  <si>
    <t>INTEAM_F55</t>
  </si>
  <si>
    <t>INTEAM_F56</t>
  </si>
  <si>
    <t>INTEAM_F57</t>
  </si>
  <si>
    <t>INTEAM_F58</t>
  </si>
  <si>
    <t>INTEAM_F59</t>
  </si>
  <si>
    <t>INTEAM_F60</t>
  </si>
  <si>
    <t>INTEAM_F61</t>
  </si>
  <si>
    <t>INTEAM_F62</t>
  </si>
  <si>
    <t>G</t>
  </si>
  <si>
    <t>INTEAM_G63</t>
  </si>
  <si>
    <t>NAFLD</t>
  </si>
  <si>
    <t>INTEAM_G64</t>
  </si>
  <si>
    <t>INTEAM_G65</t>
  </si>
  <si>
    <t>INTEAM_G66</t>
  </si>
  <si>
    <t>INTEAM_G67</t>
  </si>
  <si>
    <t>INTEAM_G68</t>
  </si>
  <si>
    <t>INTEAM_G69</t>
  </si>
  <si>
    <t>INTEAM_G70</t>
  </si>
  <si>
    <t>INTEAM_G71</t>
  </si>
  <si>
    <t>H</t>
  </si>
  <si>
    <t>INTEAM_H72</t>
  </si>
  <si>
    <t>Comp Cirr</t>
  </si>
  <si>
    <t>INTEAM_H73</t>
  </si>
  <si>
    <t>INTEAM_H74</t>
  </si>
  <si>
    <t>INTEAM_H75</t>
  </si>
  <si>
    <t>INTEAM_H76</t>
  </si>
  <si>
    <t>INTEAM_H77</t>
  </si>
  <si>
    <t>INTEAM_H78</t>
  </si>
  <si>
    <t>INTEAM_H79</t>
  </si>
  <si>
    <t>INTEAM_H80</t>
  </si>
  <si>
    <t>I</t>
  </si>
  <si>
    <t>INTEAM_I89</t>
  </si>
  <si>
    <t>New Controls</t>
  </si>
  <si>
    <t>Female</t>
  </si>
  <si>
    <t>INTEAM_I90</t>
  </si>
  <si>
    <t>INTEAM_I91</t>
  </si>
  <si>
    <t>Male</t>
  </si>
  <si>
    <t>INTEAM_I92</t>
  </si>
  <si>
    <t>INTEAM_I93</t>
  </si>
  <si>
    <t>LD12A</t>
  </si>
  <si>
    <t>INTEAM_I94</t>
  </si>
  <si>
    <t>LD13A</t>
  </si>
  <si>
    <t>INTEAM_I95</t>
  </si>
  <si>
    <t>LD14A</t>
  </si>
  <si>
    <t>INTEAM_I96</t>
  </si>
  <si>
    <t>LD15A</t>
  </si>
  <si>
    <t>INTEAM_I97</t>
  </si>
  <si>
    <t>LD16A</t>
  </si>
  <si>
    <t>INTEAM_I98</t>
  </si>
  <si>
    <t>Age (years-old)</t>
  </si>
  <si>
    <t>Gender</t>
  </si>
  <si>
    <t>Weight (kg)</t>
  </si>
  <si>
    <t>Height (cm)</t>
  </si>
  <si>
    <t>ALT (IU/dl)</t>
  </si>
  <si>
    <t>AST (IU/dl)</t>
  </si>
  <si>
    <t>ALP (IU/dl)</t>
  </si>
  <si>
    <t>GGT (IU/dl)</t>
  </si>
  <si>
    <t>T_Bilirubin (mg/dl)</t>
  </si>
  <si>
    <t>Albumin (g/dl)</t>
  </si>
  <si>
    <t>Protrombin Time (sec)</t>
  </si>
  <si>
    <t>Protombine Activity (%)</t>
  </si>
  <si>
    <t>INR</t>
  </si>
  <si>
    <t>Creatinin (mg/dl)</t>
  </si>
  <si>
    <t>Platelets (x10.3)</t>
  </si>
  <si>
    <t>Leucocytes (x10.3)</t>
  </si>
  <si>
    <t>Anti-VHC</t>
  </si>
  <si>
    <t>AgHBs</t>
  </si>
  <si>
    <t>Hb g/L</t>
  </si>
  <si>
    <t>Na mEq/L</t>
  </si>
  <si>
    <t>LD02A</t>
  </si>
  <si>
    <t>Neg</t>
  </si>
  <si>
    <t>LD03A</t>
  </si>
  <si>
    <t>LD04A</t>
  </si>
  <si>
    <t>LD07A</t>
  </si>
  <si>
    <t>LD09A</t>
  </si>
  <si>
    <t>2 = Severe inflammation</t>
  </si>
  <si>
    <t>1 = Mild inflammation</t>
  </si>
  <si>
    <t>0 = No inflammation</t>
  </si>
  <si>
    <t>2 = Severe PMN infiltration</t>
  </si>
  <si>
    <t>1 = Mild PMN infiltration</t>
  </si>
  <si>
    <t>0 = No PMN infiltration</t>
  </si>
  <si>
    <t>1 = Megamitochondria present</t>
  </si>
  <si>
    <t>0 = Megamitochondria absent</t>
  </si>
  <si>
    <t>1 = Marked hepatocellular ballooning</t>
  </si>
  <si>
    <t>0 = Occasional hepatocelluar ballooning</t>
  </si>
  <si>
    <t>3 = Hepatocellular plus ductular bilirubinostasis</t>
  </si>
  <si>
    <t>2 = Ductular bilirubinostasis</t>
  </si>
  <si>
    <t>1 = Hepatocellular  bilirubinostasis</t>
  </si>
  <si>
    <t>0 = No bilirubinostasis</t>
  </si>
  <si>
    <t>1 = Mallory bodies present</t>
  </si>
  <si>
    <t>0 = Mallory bodies absent</t>
  </si>
  <si>
    <t>3 = Marked  &gt;66% steatosis.</t>
  </si>
  <si>
    <t>2 = Moderate 33-66% steatosis</t>
  </si>
  <si>
    <t>1 = Mild &lt;33% steatosis</t>
  </si>
  <si>
    <t>0 = No steatosis</t>
  </si>
  <si>
    <t>1 = present</t>
  </si>
  <si>
    <t>0 = absent</t>
  </si>
  <si>
    <t>2 = Panlobular fibrosis</t>
  </si>
  <si>
    <t>1 = Zone2+3 (midzonal) fibrosis</t>
  </si>
  <si>
    <t>0 = No fibrosis/ Zone 3 (centrilobular) fibrosis</t>
  </si>
  <si>
    <t>Lobular_fibrosis</t>
  </si>
  <si>
    <t>2 = Bridging/Cirrhosis</t>
  </si>
  <si>
    <t>1 = Expansive periportal fibrosis</t>
  </si>
  <si>
    <t>0 = No/Portal Fibrosis</t>
  </si>
  <si>
    <t>Legends Histology Group E (Early)</t>
  </si>
  <si>
    <t>Legends Histology</t>
  </si>
  <si>
    <t>E52</t>
  </si>
  <si>
    <t>E51</t>
  </si>
  <si>
    <t>E50</t>
  </si>
  <si>
    <t>E49</t>
  </si>
  <si>
    <t>E48</t>
  </si>
  <si>
    <t>E47</t>
  </si>
  <si>
    <t>E46</t>
  </si>
  <si>
    <t>E45</t>
  </si>
  <si>
    <t>E44</t>
  </si>
  <si>
    <t>E43</t>
  </si>
  <si>
    <t>E42</t>
  </si>
  <si>
    <t>E41</t>
  </si>
  <si>
    <t>Biopsy_length_cm</t>
  </si>
  <si>
    <t>Platelets</t>
  </si>
  <si>
    <t>Hematocrit</t>
  </si>
  <si>
    <t>Hemoglobin</t>
  </si>
  <si>
    <t>Leucocyte counte</t>
  </si>
  <si>
    <t>Albumin</t>
  </si>
  <si>
    <t>AlkPhos</t>
  </si>
  <si>
    <t>Bili</t>
  </si>
  <si>
    <t>ALT</t>
  </si>
  <si>
    <t>AST</t>
  </si>
  <si>
    <t>Sodium</t>
  </si>
  <si>
    <t>Creatinine</t>
  </si>
  <si>
    <t>Glucose</t>
  </si>
  <si>
    <t>Height_cm</t>
  </si>
  <si>
    <t>Weight_kg</t>
  </si>
  <si>
    <t>Completado</t>
  </si>
  <si>
    <t>Fenotipo</t>
  </si>
  <si>
    <t>Metabolomica</t>
  </si>
  <si>
    <t>HA</t>
  </si>
  <si>
    <t>Fecha_ingreso</t>
  </si>
  <si>
    <t>Fecha_muestra</t>
  </si>
  <si>
    <t>Fecha_nacimiento</t>
  </si>
  <si>
    <t>Edad</t>
  </si>
  <si>
    <t>Genero</t>
  </si>
  <si>
    <t>Compensada</t>
  </si>
  <si>
    <t>CH</t>
  </si>
  <si>
    <t>Last_seen</t>
  </si>
  <si>
    <t>Seguimiento</t>
  </si>
  <si>
    <t>Status_last_seen</t>
  </si>
  <si>
    <t>Status_6m</t>
  </si>
  <si>
    <t>Status_12m</t>
  </si>
  <si>
    <t>Exitus</t>
  </si>
  <si>
    <t>Ascitis0_grados</t>
  </si>
  <si>
    <t>Ascitis1</t>
  </si>
  <si>
    <t>Ascitis1_Grados</t>
  </si>
  <si>
    <t>Encefalopatia0_grados</t>
  </si>
  <si>
    <t>Encefalopatia0_grado2</t>
  </si>
  <si>
    <t>Encefalopatia1</t>
  </si>
  <si>
    <t>Encefalopatia1_grados</t>
  </si>
  <si>
    <t>HDA0_dico</t>
  </si>
  <si>
    <t>HDA0_tipos</t>
  </si>
  <si>
    <t>HDA1_dico</t>
  </si>
  <si>
    <t>HDA1_tipos</t>
  </si>
  <si>
    <t>Infec0_germen</t>
  </si>
  <si>
    <t>Infec0_tratamiento</t>
  </si>
  <si>
    <t>Infecciones1</t>
  </si>
  <si>
    <t>Infec1_dias_desde_ingreso</t>
  </si>
  <si>
    <t>Infec1_tipo</t>
  </si>
  <si>
    <t>Infec1_germen</t>
  </si>
  <si>
    <t>Infec1_tratamiento</t>
  </si>
  <si>
    <t>Intubation</t>
  </si>
  <si>
    <t>Intubation_Neumo</t>
  </si>
  <si>
    <t>Shock</t>
  </si>
  <si>
    <t>UCI</t>
  </si>
  <si>
    <t>UCI_Dias</t>
  </si>
  <si>
    <t>Talla</t>
  </si>
  <si>
    <t>Peso0</t>
  </si>
  <si>
    <t>Comentarios</t>
  </si>
  <si>
    <t>TAS</t>
  </si>
  <si>
    <t>TAD</t>
  </si>
  <si>
    <t>SIRS_Coment</t>
  </si>
  <si>
    <t>SIRS_Temp1</t>
  </si>
  <si>
    <t>SIRS_FC</t>
  </si>
  <si>
    <t>SIRS_FR</t>
  </si>
  <si>
    <t>SIRS_PMN</t>
  </si>
  <si>
    <t>SIRS_Ncrit</t>
  </si>
  <si>
    <t>SIRS_0</t>
  </si>
  <si>
    <t>SIRS_INF0</t>
  </si>
  <si>
    <t>MOD_AKI</t>
  </si>
  <si>
    <t>MOD_CardVasc</t>
  </si>
  <si>
    <t>MOD_Coag</t>
  </si>
  <si>
    <t>MOD_Neur</t>
  </si>
  <si>
    <t>MOD_Resp</t>
  </si>
  <si>
    <t>MOD_Liver_Mix</t>
  </si>
  <si>
    <t>MOD_Liver_ABIC</t>
  </si>
  <si>
    <t>MOD_Liver_Maddrey</t>
  </si>
  <si>
    <t>MOD_NCrit_MDF</t>
  </si>
  <si>
    <t>MOD_Ncrit_Mix</t>
  </si>
  <si>
    <t>MOD_NCrit_SOFA</t>
  </si>
  <si>
    <t>MOD_2_Mix</t>
  </si>
  <si>
    <t>MOD_3_Mix</t>
  </si>
  <si>
    <t>MOD_2_MDF</t>
  </si>
  <si>
    <t>MOD_3_MDF</t>
  </si>
  <si>
    <t>MOD_2_SOFA</t>
  </si>
  <si>
    <t>MOD_3_SOFA</t>
  </si>
  <si>
    <t>SIRS_Infeccion_Evolucion</t>
  </si>
  <si>
    <t>GPVH</t>
  </si>
  <si>
    <t>Fecha_analitica</t>
  </si>
  <si>
    <t>Glucosa</t>
  </si>
  <si>
    <t>Creatinina</t>
  </si>
  <si>
    <t>Colesterol</t>
  </si>
  <si>
    <t>Trigliceridos</t>
  </si>
  <si>
    <t>Bilirrubina_T</t>
  </si>
  <si>
    <t>BUN</t>
  </si>
  <si>
    <t>Creatinina_MELD</t>
  </si>
  <si>
    <t>Bili_MELD</t>
  </si>
  <si>
    <t>Bilirrubina_D</t>
  </si>
  <si>
    <t>FA</t>
  </si>
  <si>
    <t>LDH</t>
  </si>
  <si>
    <t>Proteinas</t>
  </si>
  <si>
    <t>Albumina</t>
  </si>
  <si>
    <t>K</t>
  </si>
  <si>
    <t>Leucos</t>
  </si>
  <si>
    <t>Neutros</t>
  </si>
  <si>
    <t>Neutros_total</t>
  </si>
  <si>
    <t>Hemoglobina</t>
  </si>
  <si>
    <t>Hematocrito</t>
  </si>
  <si>
    <t>VCM</t>
  </si>
  <si>
    <t>Plaquetas</t>
  </si>
  <si>
    <t>TP_seg</t>
  </si>
  <si>
    <t>TP_Quick</t>
  </si>
  <si>
    <t>MDF</t>
  </si>
  <si>
    <t>MDF_modif</t>
  </si>
  <si>
    <t>filter_$</t>
  </si>
  <si>
    <t>TSR</t>
  </si>
  <si>
    <t>AKI_Confirmar</t>
  </si>
  <si>
    <t>AKI_Dia</t>
  </si>
  <si>
    <t>Cr_Dia0</t>
  </si>
  <si>
    <t>Cr_Dia1</t>
  </si>
  <si>
    <t>Cr_Dia2</t>
  </si>
  <si>
    <t>Cr_Dia3</t>
  </si>
  <si>
    <t>Cr_Dia4</t>
  </si>
  <si>
    <t>Cr_Dia5</t>
  </si>
  <si>
    <t>Cr_Dia6</t>
  </si>
  <si>
    <t>Cr_Dia7</t>
  </si>
  <si>
    <t>Cr_Dia8</t>
  </si>
  <si>
    <t>Cr_Dia9</t>
  </si>
  <si>
    <t>Cr_Dia10</t>
  </si>
  <si>
    <t>Cr_Dia11</t>
  </si>
  <si>
    <t>Cr_Dia12</t>
  </si>
  <si>
    <t>Cr_Dia13</t>
  </si>
  <si>
    <t>Cr_Dia14</t>
  </si>
  <si>
    <t>Cr_Dia15</t>
  </si>
  <si>
    <t>Cr_Dia16</t>
  </si>
  <si>
    <t>Cr_Dia17</t>
  </si>
  <si>
    <t>Cr_Dia18</t>
  </si>
  <si>
    <t>Cr_Dia19</t>
  </si>
  <si>
    <t>Cr_Dia20</t>
  </si>
  <si>
    <t>Cr_Dia21</t>
  </si>
  <si>
    <t>Cr_Dia22</t>
  </si>
  <si>
    <t>Cr_Dia23</t>
  </si>
  <si>
    <t>Cr_Dia24</t>
  </si>
  <si>
    <t>Cr_Dia25</t>
  </si>
  <si>
    <t>Cr_Dia26</t>
  </si>
  <si>
    <t>Cr_Dia27</t>
  </si>
  <si>
    <t>Cr_Dia28</t>
  </si>
  <si>
    <t>Cr_Dia29</t>
  </si>
  <si>
    <t>Cr_Dia30</t>
  </si>
  <si>
    <t>Cr_Dia31</t>
  </si>
  <si>
    <t>Cr_Dia32</t>
  </si>
  <si>
    <t>Cr_Dia33</t>
  </si>
  <si>
    <t>Cr_Dia34</t>
  </si>
  <si>
    <t>Cr_Dia35</t>
  </si>
  <si>
    <t>Cr_Dia36</t>
  </si>
  <si>
    <t>Cr_Dia37</t>
  </si>
  <si>
    <t>Cr_Dia38</t>
  </si>
  <si>
    <t>Ceftriaxona</t>
  </si>
  <si>
    <t>NIH</t>
  </si>
  <si>
    <t>Meropenem + cipro</t>
  </si>
  <si>
    <t>E. coli</t>
  </si>
  <si>
    <t>???</t>
  </si>
  <si>
    <t>Imipenem + linezolid + fluco</t>
  </si>
  <si>
    <t>1. Catéter (19/9); 2. ITU (21/9); 3. ITU (25/9); 4. NIH-Broncoaspitación (26/9); 5. PBE intrahospitalaria (26/9)</t>
  </si>
  <si>
    <t>1. E. coli BLEA; 2. E. faecalis; 3. E. coli BLEA; 4. Neg; 5. Neg</t>
  </si>
  <si>
    <t>E. faecalis</t>
  </si>
  <si>
    <t>ceftriaxona --&gt; amoxicilina/clavulánico</t>
  </si>
  <si>
    <t>1. ITU (15/10); 2. Bacteriascitis??? vs. cont. (25/10)</t>
  </si>
  <si>
    <t>1. E. faecium;2. ECN</t>
  </si>
  <si>
    <t>ITU (Broncoaspiración en contexto de CC????)</t>
  </si>
  <si>
    <t>E. coli sensible en UC</t>
  </si>
  <si>
    <t>Amoxi/clav--&gt; cipro</t>
  </si>
  <si>
    <t>Aspergillus</t>
  </si>
  <si>
    <t>1.ITU (27/1); 2. Bacteriemia E. faecalis (vía central) (28/2)</t>
  </si>
  <si>
    <t>E. faecalis (x2)</t>
  </si>
  <si>
    <t>1. Tigeciclina; 2. tazocel</t>
  </si>
  <si>
    <t>Infección catéter</t>
  </si>
  <si>
    <t>S. bovis</t>
  </si>
  <si>
    <t>Aztreonam - teico</t>
  </si>
  <si>
    <t>difficile</t>
  </si>
  <si>
    <t>C. difficile</t>
  </si>
  <si>
    <t>metronidazol</t>
  </si>
  <si>
    <t>ECN</t>
  </si>
  <si>
    <t>Cloxa --&gt; amoxi/clav</t>
  </si>
  <si>
    <t>Acinetobacter baumanii</t>
  </si>
  <si>
    <t>Meropenem + levofloxacino</t>
  </si>
  <si>
    <t>Aspergilosis</t>
  </si>
  <si>
    <t>HD estable y afebril al ingreso en otro centro, 15 días antes del traslado. En UCI-IMD: hipotenso, con DVA.</t>
  </si>
  <si>
    <t>?</t>
  </si>
  <si>
    <t>Fiebre + tos no productiva + diarrea, cultivos negativos, no ATB?</t>
  </si>
  <si>
    <t>E. coli S</t>
  </si>
  <si>
    <t>E. faecium</t>
  </si>
  <si>
    <t>HAA avec fibrose = 5</t>
  </si>
  <si>
    <t>Cirrhose sans HAA = 4</t>
  </si>
  <si>
    <t>HAA sévère = 3</t>
  </si>
  <si>
    <t>3 confusion, coma</t>
  </si>
  <si>
    <t>3 abondante</t>
  </si>
  <si>
    <t>HAA modérée = 2</t>
  </si>
  <si>
    <t>yes = 2</t>
  </si>
  <si>
    <t>HAA/fibrose = 3</t>
  </si>
  <si>
    <t>2 flapping</t>
  </si>
  <si>
    <t>2 modérée</t>
  </si>
  <si>
    <t>HAA minime = 1</t>
  </si>
  <si>
    <t>failed= 1</t>
  </si>
  <si>
    <t>Autre décompensation cirrhose =2</t>
  </si>
  <si>
    <t>NON= 1</t>
  </si>
  <si>
    <t>1 absente</t>
  </si>
  <si>
    <t>insufficient = 0</t>
  </si>
  <si>
    <t>no = 0</t>
  </si>
  <si>
    <t>HAA/cirhhose =1</t>
  </si>
  <si>
    <t>OUI = 0</t>
  </si>
  <si>
    <t>Encephal</t>
  </si>
  <si>
    <t>Ascites</t>
  </si>
  <si>
    <t>Liver Biopsy</t>
  </si>
  <si>
    <t>Hospitalization Reason</t>
  </si>
  <si>
    <t>Alive</t>
  </si>
  <si>
    <t>CODIFICATION DES ITEMS</t>
  </si>
  <si>
    <t>normale</t>
  </si>
  <si>
    <t>non ponctionnable</t>
  </si>
  <si>
    <t>E. Coli 10^7</t>
  </si>
  <si>
    <t>stérile</t>
  </si>
  <si>
    <t>Axepim</t>
  </si>
  <si>
    <t>E. Coli</t>
  </si>
  <si>
    <t>EV 23/08/2013</t>
  </si>
  <si>
    <t>PTH gauche, cholécystectomie</t>
  </si>
  <si>
    <t>HAA corticoR TH le 21/11/2013</t>
  </si>
  <si>
    <t>Asthme non sevère traité par AIROMIR</t>
  </si>
  <si>
    <t>TH le 8/8/12</t>
  </si>
  <si>
    <t>enteroacter aerogenes + enterococcus spp 10^5 :chgment de sonde</t>
  </si>
  <si>
    <t>Transfert Rouen pr avis sur TH, TH le 06 mai 2012</t>
  </si>
  <si>
    <t>E Faecalis</t>
  </si>
  <si>
    <t>Claforan pour ISLA, amox pr bactériémie et tazo + ciflox pr pneumopathie</t>
  </si>
  <si>
    <t>ISLA :staph doré et entreocccus faecalis, bactéri&amp;mie : enterococcus faecalis, pneumopathie K pneumoniae</t>
  </si>
  <si>
    <t>27/02/2012 et 02/03/2012 et 28/03/2012</t>
  </si>
  <si>
    <t>tabac 30 PA</t>
  </si>
  <si>
    <t>TH le 08/03/2012 (entre J21 et J28)</t>
  </si>
  <si>
    <t>pas d'ascite</t>
  </si>
  <si>
    <t xml:space="preserve">syndrome anxiodepressif, </t>
  </si>
  <si>
    <t xml:space="preserve">Rocephine puis Tazocilline Amiklin </t>
  </si>
  <si>
    <t>E coli puis E. coli</t>
  </si>
  <si>
    <t>03/05/2010 puis 05/06/10</t>
  </si>
  <si>
    <t>Adressé de Dunkerque pour HAA corticoR, TH le 08/07/10</t>
  </si>
  <si>
    <t>sarm</t>
  </si>
  <si>
    <t>Zyvoxid (linézolide)</t>
  </si>
  <si>
    <t>SARM</t>
  </si>
  <si>
    <t>hypercholestérolémie</t>
  </si>
  <si>
    <t>Corpentox Haa corticorésistante greffé le 9/06/2009</t>
  </si>
  <si>
    <t>Tazo Ciflox</t>
  </si>
  <si>
    <t>non retrouvé</t>
  </si>
  <si>
    <t>3 mg/j, efficace</t>
  </si>
  <si>
    <t>HTA, diabète de type 2</t>
  </si>
  <si>
    <t>Adressée de Dunkerque pour HAA corticoR, TH le 28/08/08</t>
  </si>
  <si>
    <t>HTA</t>
  </si>
  <si>
    <t>Alcool M2</t>
  </si>
  <si>
    <t>Creat mg/l M2</t>
  </si>
  <si>
    <t>CRP mg/l M2</t>
  </si>
  <si>
    <t>Albumine g/l</t>
  </si>
  <si>
    <t>Bili mg/l M2</t>
  </si>
  <si>
    <t>ASAT M2</t>
  </si>
  <si>
    <t>INR M2</t>
  </si>
  <si>
    <t>TPs temoin</t>
  </si>
  <si>
    <t>DiffTQ p-t</t>
  </si>
  <si>
    <t>TP%M2</t>
  </si>
  <si>
    <t>Neutro M2</t>
  </si>
  <si>
    <t>Leucocytes M2</t>
  </si>
  <si>
    <t>Encephal M2</t>
  </si>
  <si>
    <t>Ascite M2</t>
  </si>
  <si>
    <t>Creat mg/l J28</t>
  </si>
  <si>
    <t>CRP mg/l J28</t>
  </si>
  <si>
    <t>Bili directe mg/l J28</t>
  </si>
  <si>
    <t>Bili mg/l J28</t>
  </si>
  <si>
    <t>Albm J28</t>
  </si>
  <si>
    <t>ASAT J28</t>
  </si>
  <si>
    <t>INR J28</t>
  </si>
  <si>
    <t>TP%J28</t>
  </si>
  <si>
    <t>Neutro J28</t>
  </si>
  <si>
    <t>Leucocytes J28</t>
  </si>
  <si>
    <t>Creat mg/l J21</t>
  </si>
  <si>
    <t>CRPmg/lJ21</t>
  </si>
  <si>
    <t>Bilimg/lJ21</t>
  </si>
  <si>
    <t>AlbmJ21</t>
  </si>
  <si>
    <t>ASATJ21</t>
  </si>
  <si>
    <t>INRJ21</t>
  </si>
  <si>
    <t>Tptémoin</t>
  </si>
  <si>
    <t>TP%J21</t>
  </si>
  <si>
    <t>NeutroJ21</t>
  </si>
  <si>
    <t>LeucocytesJ21</t>
  </si>
  <si>
    <t>Creatmg/lJ14</t>
  </si>
  <si>
    <t>CRPmg/lJ14</t>
  </si>
  <si>
    <t>Bilimg/lJ14</t>
  </si>
  <si>
    <t>AlbmJ14</t>
  </si>
  <si>
    <t>ASATJ14</t>
  </si>
  <si>
    <t>INRJ14</t>
  </si>
  <si>
    <t>TP%J14</t>
  </si>
  <si>
    <t>NeutroJ14</t>
  </si>
  <si>
    <t>LeucocytesJ14</t>
  </si>
  <si>
    <t>Lille Score</t>
  </si>
  <si>
    <t>AldostDay7</t>
  </si>
  <si>
    <t>PRADay7</t>
  </si>
  <si>
    <t>NoradréDay7</t>
  </si>
  <si>
    <t>Creatmg/lDay7</t>
  </si>
  <si>
    <t>CRPmg/lDay7</t>
  </si>
  <si>
    <t>Responder</t>
  </si>
  <si>
    <t>DifBil Day0Day7</t>
  </si>
  <si>
    <t>Bilimg/lDay7</t>
  </si>
  <si>
    <t>AlbmDay7</t>
  </si>
  <si>
    <t>ASATDay7</t>
  </si>
  <si>
    <t>INRDay7</t>
  </si>
  <si>
    <t>PT control</t>
  </si>
  <si>
    <t>PT%Day7</t>
  </si>
  <si>
    <t>NeutroDay7</t>
  </si>
  <si>
    <t>LeucocytesDay7</t>
  </si>
  <si>
    <t>MaddreyDay3</t>
  </si>
  <si>
    <t>creatmg/lDay3</t>
  </si>
  <si>
    <t>CRPmg/lDay3</t>
  </si>
  <si>
    <t>Bilimg/lDay3</t>
  </si>
  <si>
    <t>Alb Day3</t>
  </si>
  <si>
    <t>ASTDay3</t>
  </si>
  <si>
    <t>INRDay3</t>
  </si>
  <si>
    <t>DiffQT p-c</t>
  </si>
  <si>
    <t>PT% Day3</t>
  </si>
  <si>
    <t>NeutroDay3</t>
  </si>
  <si>
    <t>LeucocytesDay3</t>
  </si>
  <si>
    <t>AldostDay0</t>
  </si>
  <si>
    <t>PRADay0</t>
  </si>
  <si>
    <t>NorepiDay0</t>
  </si>
  <si>
    <t>MaddreyDay0</t>
  </si>
  <si>
    <t>creatmg/lDay0</t>
  </si>
  <si>
    <t>CRPmg/lDay0</t>
  </si>
  <si>
    <t>Bilidirecte mg/l Day0</t>
  </si>
  <si>
    <t>Bili mg/l Day0</t>
  </si>
  <si>
    <t>AlbDay0</t>
  </si>
  <si>
    <t>ASTDay0</t>
  </si>
  <si>
    <t>INRDay0</t>
  </si>
  <si>
    <t>Ptcontrol</t>
  </si>
  <si>
    <t>DiffTQ p-c</t>
  </si>
  <si>
    <t>PT%Day0</t>
  </si>
  <si>
    <t>NeutroDay0</t>
  </si>
  <si>
    <t>LeuKocytesDay0</t>
  </si>
  <si>
    <t>Aldost admi</t>
  </si>
  <si>
    <t>PRA Admi</t>
  </si>
  <si>
    <t>Norepin Admi</t>
  </si>
  <si>
    <t>Maddrey Adm</t>
  </si>
  <si>
    <t>creat mg/l admi</t>
  </si>
  <si>
    <t>CRP mg/l admi</t>
  </si>
  <si>
    <t>Alb mg/l adm</t>
  </si>
  <si>
    <t>Bilidirecte mg/l</t>
  </si>
  <si>
    <t>Bili mg/l admi</t>
  </si>
  <si>
    <t>ASTadm</t>
  </si>
  <si>
    <t>INRadmi</t>
  </si>
  <si>
    <t>Ptseccontrol</t>
  </si>
  <si>
    <t>PT%admi</t>
  </si>
  <si>
    <t>Neutro admis</t>
  </si>
  <si>
    <t>Leukocytes admis</t>
  </si>
  <si>
    <t>ClinAscites</t>
  </si>
  <si>
    <t>HBV</t>
  </si>
  <si>
    <t>HIV</t>
  </si>
  <si>
    <t>HCC</t>
  </si>
  <si>
    <t>PathCirrhosis</t>
  </si>
  <si>
    <t>Pathology</t>
  </si>
  <si>
    <t>HPVG</t>
  </si>
  <si>
    <t>Result</t>
  </si>
  <si>
    <t>Chest Xray</t>
  </si>
  <si>
    <t>Germ</t>
  </si>
  <si>
    <t>Ascites paracentesis</t>
  </si>
  <si>
    <t>Urine culture</t>
  </si>
  <si>
    <t>Hospitalized Blood Culture</t>
  </si>
  <si>
    <t>Admission Blood culture</t>
  </si>
  <si>
    <t>antibiotic</t>
  </si>
  <si>
    <t>germ</t>
  </si>
  <si>
    <t>Type</t>
  </si>
  <si>
    <t>Date infection</t>
  </si>
  <si>
    <t>Infection</t>
  </si>
  <si>
    <t>Terlipressin</t>
  </si>
  <si>
    <t>Date HRS</t>
  </si>
  <si>
    <t>HRS</t>
  </si>
  <si>
    <t>Hemorragic event</t>
  </si>
  <si>
    <t>Transplant</t>
  </si>
  <si>
    <t>Survival</t>
  </si>
  <si>
    <t>AH day 0</t>
  </si>
  <si>
    <t>Prednisolone dose</t>
  </si>
  <si>
    <t>Alcohol g/day</t>
  </si>
  <si>
    <t>Hypertension</t>
  </si>
  <si>
    <t>Comments</t>
  </si>
  <si>
    <t>Comorbidities</t>
  </si>
  <si>
    <t>Date of hospitalization</t>
  </si>
  <si>
    <t>DOB</t>
  </si>
  <si>
    <t>Group D: Explants from patients with AH non responders</t>
  </si>
  <si>
    <t>Group H: Compensated HCV CIRRHOSIS</t>
  </si>
  <si>
    <t xml:space="preserve">Date of Biopsy </t>
  </si>
  <si>
    <t>Date of analysis</t>
  </si>
  <si>
    <t xml:space="preserve">Age </t>
  </si>
  <si>
    <t xml:space="preserve">Gender </t>
  </si>
  <si>
    <t xml:space="preserve">Hemoglobin g/L </t>
  </si>
  <si>
    <t>Leukocyte count x109/L</t>
  </si>
  <si>
    <t>Platelet count x109/L</t>
  </si>
  <si>
    <t>AST (U/L)</t>
  </si>
  <si>
    <t>ALT (U/L)</t>
  </si>
  <si>
    <t>Albumina (g/dL)</t>
  </si>
  <si>
    <t>Creatinine mg/dL</t>
  </si>
  <si>
    <t>Total Bilirubin mg/dL</t>
  </si>
  <si>
    <t>HVPG (measured the day of the biopsy)</t>
  </si>
  <si>
    <t>Group G: NAFLD</t>
  </si>
  <si>
    <t>Albumin (g/dL)</t>
  </si>
  <si>
    <t>PT %</t>
  </si>
  <si>
    <t>PT sec</t>
  </si>
  <si>
    <t xml:space="preserve">BMI Kg/m2 </t>
  </si>
  <si>
    <t>Group F: HCV infection wo CIRRHOSIS</t>
  </si>
  <si>
    <t>InTeam_ID[RNA-seq]</t>
  </si>
  <si>
    <t>Original_ID</t>
  </si>
  <si>
    <t>Child_points</t>
  </si>
  <si>
    <t>Groups ABC: A &amp; B are clinical and pathology proven AH, C is an heterogeneous group some with and some without AH criteria</t>
  </si>
  <si>
    <t>Group E: Early ASH: Patients with Alcohol Abuse but never AH and histologically ASH</t>
  </si>
  <si>
    <t>Group I: Controls : Normal liver surounding liver nodules (Mets), obtained before any clamping or ischemia</t>
  </si>
  <si>
    <t>Transfert du Havre pour HAA corticoR, TPH 17/08/2008</t>
  </si>
  <si>
    <t>Adressée de Nantes pour HAA corticoresistante/ TH 16/06/2011</t>
  </si>
  <si>
    <t> 26.4</t>
  </si>
  <si>
    <t>ABIC</t>
  </si>
  <si>
    <t>*Calculated at Bataller's Lab</t>
  </si>
  <si>
    <t>*</t>
  </si>
  <si>
    <t>Day 0: Used for table of patient characteristics</t>
  </si>
  <si>
    <t>SevResp_AH</t>
  </si>
  <si>
    <t>SevNonR_AH</t>
  </si>
  <si>
    <t>Expl_AH</t>
  </si>
  <si>
    <t>Early</t>
  </si>
  <si>
    <t>Comp_HCV_Cirr</t>
  </si>
  <si>
    <t>Normal</t>
  </si>
  <si>
    <t>SevAlive90</t>
  </si>
  <si>
    <t>SevDec90</t>
  </si>
  <si>
    <t>NSev_AH</t>
  </si>
  <si>
    <t>Phenotype1</t>
  </si>
  <si>
    <t>Phenotype2</t>
  </si>
  <si>
    <t>Phenotype (Original)</t>
  </si>
  <si>
    <t>Condition0</t>
  </si>
  <si>
    <t>SevAH</t>
  </si>
  <si>
    <t>NonSevAH</t>
  </si>
  <si>
    <t>MELD_day0</t>
  </si>
  <si>
    <t>ABIC_day0</t>
  </si>
  <si>
    <t>MEDIAN</t>
  </si>
  <si>
    <t>IQR 1</t>
  </si>
  <si>
    <t>IQR 3</t>
  </si>
  <si>
    <t>Bilirubin</t>
  </si>
  <si>
    <t>Child-Pugh</t>
  </si>
  <si>
    <t>Min</t>
  </si>
  <si>
    <t>Max</t>
  </si>
  <si>
    <t>Bilirubin_mg/dL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</si>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</sst>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;;;"/>
  </numFmts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b/>
      <sz val="12"/>
      <name val="Helvetica"/>
      <family val="2"/>
    </font>
    <font>
      <sz val="12"/>
      <color theme="1"/>
      <name val="Helvetica"/>
      <family val="2"/>
    </font>
    <font>
      <b/>
      <sz val="12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/>
    <xf numFmtId="0" fontId="2" fillId="0" borderId="1" xfId="1" applyBorder="1" applyAlignment="1">
      <alignment horizontal="left"/>
    </xf>
    <xf numFmtId="0" fontId="2" fillId="0" borderId="1" xfId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" xfId="0" applyFont="1" applyBorder="1"/>
    <xf numFmtId="0" fontId="0" fillId="0" borderId="2" xfId="0" applyBorder="1"/>
    <xf numFmtId="2" fontId="0" fillId="0" borderId="2" xfId="0" applyNumberFormat="1" applyBorder="1"/>
    <xf numFmtId="0" fontId="4" fillId="0" borderId="0" xfId="0" applyFont="1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0" fontId="2" fillId="0" borderId="2" xfId="2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2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14" fontId="0" fillId="0" borderId="3" xfId="0" applyNumberFormat="1" applyBorder="1"/>
    <xf numFmtId="0" fontId="1" fillId="0" borderId="3" xfId="0" applyFont="1" applyBorder="1"/>
    <xf numFmtId="0" fontId="2" fillId="0" borderId="0" xfId="1"/>
    <xf numFmtId="0" fontId="7" fillId="0" borderId="0" xfId="1" applyFont="1"/>
    <xf numFmtId="0" fontId="8" fillId="0" borderId="0" xfId="1" applyFont="1"/>
    <xf numFmtId="14" fontId="0" fillId="0" borderId="0" xfId="0" applyNumberFormat="1"/>
    <xf numFmtId="164" fontId="0" fillId="0" borderId="1" xfId="0" applyNumberFormat="1" applyBorder="1"/>
    <xf numFmtId="1" fontId="0" fillId="0" borderId="1" xfId="0" applyNumberFormat="1" applyBorder="1"/>
    <xf numFmtId="0" fontId="10" fillId="0" borderId="3" xfId="1" applyFont="1" applyBorder="1" applyAlignment="1">
      <alignment horizontal="right"/>
    </xf>
    <xf numFmtId="14" fontId="10" fillId="0" borderId="3" xfId="1" applyNumberFormat="1" applyFont="1" applyBorder="1" applyAlignment="1">
      <alignment horizontal="right"/>
    </xf>
    <xf numFmtId="2" fontId="10" fillId="0" borderId="3" xfId="1" applyNumberFormat="1" applyFont="1" applyBorder="1" applyAlignment="1">
      <alignment horizontal="right"/>
    </xf>
    <xf numFmtId="14" fontId="10" fillId="0" borderId="3" xfId="1" applyNumberFormat="1" applyFont="1" applyBorder="1" applyAlignment="1">
      <alignment horizontal="center"/>
    </xf>
    <xf numFmtId="0" fontId="10" fillId="0" borderId="3" xfId="1" applyFont="1" applyBorder="1" applyAlignment="1">
      <alignment horizontal="center"/>
    </xf>
    <xf numFmtId="0" fontId="10" fillId="0" borderId="3" xfId="1" applyFont="1" applyBorder="1" applyAlignment="1">
      <alignment horizontal="left"/>
    </xf>
    <xf numFmtId="1" fontId="10" fillId="0" borderId="3" xfId="1" applyNumberFormat="1" applyFont="1" applyBorder="1" applyAlignment="1">
      <alignment horizontal="center"/>
    </xf>
    <xf numFmtId="0" fontId="11" fillId="0" borderId="0" xfId="0" applyFont="1"/>
    <xf numFmtId="0" fontId="11" fillId="0" borderId="3" xfId="0" applyFont="1" applyBorder="1"/>
    <xf numFmtId="0" fontId="11" fillId="0" borderId="3" xfId="0" applyFont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12" fillId="0" borderId="3" xfId="0" applyFont="1" applyBorder="1"/>
    <xf numFmtId="0" fontId="10" fillId="0" borderId="4" xfId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12" fillId="0" borderId="6" xfId="0" applyFont="1" applyBorder="1"/>
    <xf numFmtId="0" fontId="13" fillId="0" borderId="2" xfId="0" applyFont="1" applyBorder="1"/>
    <xf numFmtId="0" fontId="14" fillId="0" borderId="3" xfId="0" applyFont="1" applyBorder="1"/>
    <xf numFmtId="0" fontId="14" fillId="0" borderId="2" xfId="0" applyFont="1" applyBorder="1"/>
    <xf numFmtId="0" fontId="11" fillId="0" borderId="4" xfId="0" applyFont="1" applyBorder="1"/>
    <xf numFmtId="2" fontId="0" fillId="0" borderId="0" xfId="0" applyNumberFormat="1"/>
    <xf numFmtId="2" fontId="1" fillId="0" borderId="0" xfId="0" applyNumberFormat="1" applyFont="1"/>
    <xf numFmtId="165" fontId="0" fillId="0" borderId="0" xfId="0" applyNumberFormat="1"/>
    <xf numFmtId="165" fontId="0" fillId="2" borderId="0" xfId="0" applyNumberFormat="1" applyFill="1"/>
    <xf numFmtId="165" fontId="0" fillId="3" borderId="0" xfId="0" applyNumberFormat="1" applyFill="1"/>
    <xf numFmtId="0" fontId="0" fillId="3" borderId="0" xfId="0" applyFill="1"/>
  </cellXfs>
  <cellStyles count="3">
    <cellStyle name="Normal" xfId="0" builtinId="0"/>
    <cellStyle name="Normal 2" xfId="1" xr:uid="{00000000-0005-0000-0000-000001000000}"/>
    <cellStyle name="Standard 2" xfId="2" xr:uid="{00000000-0005-0000-0000-000002000000}"/>
  </cellStyles>
  <dxfs count="0"/>
  <tableStyles count="0" defaultTableStyle="TableStyleMedium2" defaultPivotStyle="PivotStyleLight16"/>
  <colors>
    <mruColors>
      <color rgb="FF845D30"/>
      <color rgb="FFFCE5C1"/>
      <color rgb="FF933827"/>
      <color rgb="FFF8BEA7"/>
      <color rgb="FF845D2D"/>
      <color rgb="FF27562C"/>
      <color rgb="FFCEEAD0"/>
      <color rgb="FFE12C2B"/>
      <color rgb="FFF6BE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91"/>
  <sheetViews>
    <sheetView zoomScale="116" workbookViewId="0">
      <pane ySplit="1" topLeftCell="A2" activePane="bottomLeft" state="frozen"/>
      <selection activeCell="E34" sqref="E34"/>
      <selection pane="bottomLeft" activeCell="S1" sqref="A1:S1048576"/>
    </sheetView>
  </sheetViews>
  <sheetFormatPr defaultColWidth="9" defaultRowHeight="15.75" x14ac:dyDescent="0.25"/>
  <cols>
    <col min="1" max="1" width="4.625" bestFit="1" customWidth="1"/>
    <col min="3" max="3" width="12.875" customWidth="1"/>
    <col min="4" max="4" width="8.375" customWidth="1"/>
    <col min="5" max="5" width="16.875" style="14" customWidth="1"/>
    <col min="6" max="6" width="15.875" style="14" customWidth="1"/>
    <col min="7" max="7" width="12.625" bestFit="1" customWidth="1"/>
    <col min="8" max="9" width="9" style="14"/>
    <col min="10" max="10" width="11.125" style="14" bestFit="1" customWidth="1"/>
    <col min="11" max="11" width="15.125" style="14" bestFit="1" customWidth="1"/>
    <col min="12" max="12" width="11.75" style="14" bestFit="1" customWidth="1"/>
    <col min="13" max="13" width="11.125" style="14" bestFit="1" customWidth="1"/>
    <col min="75" max="75" width="9" style="14"/>
  </cols>
  <sheetData>
    <row r="1" spans="1:82" s="3" customFormat="1" x14ac:dyDescent="0.25">
      <c r="A1" s="1" t="s">
        <v>0</v>
      </c>
      <c r="B1" s="1" t="s">
        <v>1</v>
      </c>
      <c r="C1" s="1" t="s">
        <v>2</v>
      </c>
      <c r="D1" s="1" t="s">
        <v>736</v>
      </c>
      <c r="E1" s="2" t="s">
        <v>733</v>
      </c>
      <c r="F1" s="2" t="s">
        <v>734</v>
      </c>
      <c r="G1" s="1" t="s">
        <v>735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343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2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</row>
    <row r="2" spans="1:82" x14ac:dyDescent="0.25">
      <c r="A2" s="4">
        <v>1</v>
      </c>
      <c r="B2" s="4" t="s">
        <v>77</v>
      </c>
      <c r="C2" s="4" t="s">
        <v>78</v>
      </c>
      <c r="D2" s="4" t="s">
        <v>737</v>
      </c>
      <c r="E2" s="5" t="s">
        <v>724</v>
      </c>
      <c r="F2" s="5" t="s">
        <v>730</v>
      </c>
      <c r="G2" s="4" t="s">
        <v>79</v>
      </c>
      <c r="H2" s="5">
        <v>39</v>
      </c>
      <c r="I2" s="5" t="s">
        <v>80</v>
      </c>
      <c r="J2" s="6">
        <v>25788</v>
      </c>
      <c r="K2" s="6">
        <v>40283</v>
      </c>
      <c r="L2" s="6">
        <v>40284</v>
      </c>
      <c r="M2" s="6">
        <v>40283</v>
      </c>
      <c r="N2" s="4">
        <v>19</v>
      </c>
      <c r="O2" s="4">
        <v>116</v>
      </c>
      <c r="P2" s="4">
        <v>8800</v>
      </c>
      <c r="Q2" s="4">
        <v>67</v>
      </c>
      <c r="R2" s="4">
        <v>119</v>
      </c>
      <c r="S2" s="4">
        <v>55</v>
      </c>
      <c r="T2" s="4">
        <v>53</v>
      </c>
      <c r="U2" s="4">
        <v>479</v>
      </c>
      <c r="V2" s="41">
        <v>25</v>
      </c>
      <c r="W2" s="4"/>
      <c r="X2" s="4">
        <v>13.1</v>
      </c>
      <c r="Y2" s="4">
        <v>2.23</v>
      </c>
      <c r="Z2" s="4"/>
      <c r="AA2" s="4">
        <v>22</v>
      </c>
      <c r="AB2" s="4">
        <v>1.1000000000000001</v>
      </c>
      <c r="AC2" s="4">
        <v>131</v>
      </c>
      <c r="AD2" s="4"/>
      <c r="AE2" s="4"/>
      <c r="AF2" s="4"/>
      <c r="AG2" s="4" t="s">
        <v>81</v>
      </c>
      <c r="AH2" s="4" t="s">
        <v>81</v>
      </c>
      <c r="AI2" s="4">
        <v>105</v>
      </c>
      <c r="AJ2" s="4">
        <v>66</v>
      </c>
      <c r="AK2" s="4">
        <v>96</v>
      </c>
      <c r="AL2" s="4"/>
      <c r="AM2" s="4">
        <v>4</v>
      </c>
      <c r="AN2" s="4">
        <v>1</v>
      </c>
      <c r="AO2" s="4"/>
      <c r="AP2" s="4"/>
      <c r="AQ2" s="4"/>
      <c r="AR2" s="4"/>
      <c r="AS2" s="4"/>
      <c r="AT2" s="4"/>
      <c r="AU2" s="4"/>
      <c r="AV2" s="4"/>
      <c r="AW2" s="4"/>
      <c r="AX2" s="4">
        <v>3</v>
      </c>
      <c r="AY2" s="4">
        <v>11</v>
      </c>
      <c r="AZ2" s="4">
        <v>28</v>
      </c>
      <c r="BA2" s="4">
        <v>7.84</v>
      </c>
      <c r="BB2" s="4">
        <v>2</v>
      </c>
      <c r="BC2" s="4">
        <v>1</v>
      </c>
      <c r="BD2" s="4">
        <v>0.437</v>
      </c>
      <c r="BE2" s="4">
        <v>15.7</v>
      </c>
      <c r="BF2" s="4">
        <v>1</v>
      </c>
      <c r="BG2" s="4">
        <v>0</v>
      </c>
      <c r="BH2" s="4">
        <v>0</v>
      </c>
      <c r="BI2" s="4">
        <v>0</v>
      </c>
      <c r="BJ2" s="4">
        <v>1</v>
      </c>
      <c r="BK2" s="4">
        <v>0</v>
      </c>
      <c r="BL2" s="4">
        <v>1</v>
      </c>
      <c r="BM2" s="4" t="s">
        <v>82</v>
      </c>
      <c r="BN2" s="4">
        <v>0</v>
      </c>
      <c r="BO2" s="4" t="s">
        <v>81</v>
      </c>
      <c r="BP2" s="4" t="s">
        <v>81</v>
      </c>
      <c r="BQ2" s="4" t="s">
        <v>81</v>
      </c>
      <c r="BR2" s="4" t="s">
        <v>83</v>
      </c>
      <c r="BS2" s="4">
        <v>1</v>
      </c>
      <c r="BT2" s="4" t="s">
        <v>81</v>
      </c>
      <c r="BU2" s="4">
        <v>0</v>
      </c>
      <c r="BV2" s="4">
        <v>85.26</v>
      </c>
      <c r="BW2" s="5">
        <v>3</v>
      </c>
      <c r="BX2" s="4">
        <v>0</v>
      </c>
      <c r="BY2" s="4">
        <v>1</v>
      </c>
      <c r="BZ2" s="4">
        <v>0</v>
      </c>
      <c r="CA2" s="4">
        <v>4</v>
      </c>
      <c r="CB2" s="4">
        <v>2</v>
      </c>
      <c r="CC2" s="4">
        <v>90</v>
      </c>
      <c r="CD2" s="4">
        <v>71.260000000000005</v>
      </c>
    </row>
    <row r="3" spans="1:82" x14ac:dyDescent="0.25">
      <c r="A3" s="4">
        <v>2</v>
      </c>
      <c r="B3" s="4" t="s">
        <v>77</v>
      </c>
      <c r="C3" s="4" t="s">
        <v>84</v>
      </c>
      <c r="D3" s="4" t="s">
        <v>737</v>
      </c>
      <c r="E3" s="5" t="s">
        <v>724</v>
      </c>
      <c r="F3" s="5" t="s">
        <v>730</v>
      </c>
      <c r="G3" s="4" t="s">
        <v>79</v>
      </c>
      <c r="H3" s="5">
        <v>42</v>
      </c>
      <c r="I3" s="5" t="s">
        <v>85</v>
      </c>
      <c r="J3" s="6">
        <v>24760</v>
      </c>
      <c r="K3" s="6">
        <v>40304</v>
      </c>
      <c r="L3" s="6">
        <v>40305</v>
      </c>
      <c r="M3" s="6">
        <v>40304</v>
      </c>
      <c r="N3" s="4">
        <v>25</v>
      </c>
      <c r="O3" s="4">
        <v>11</v>
      </c>
      <c r="P3" s="4">
        <v>14900</v>
      </c>
      <c r="Q3" s="4">
        <v>90</v>
      </c>
      <c r="R3" s="4">
        <v>128</v>
      </c>
      <c r="S3" s="4">
        <v>127</v>
      </c>
      <c r="T3" s="4">
        <v>186</v>
      </c>
      <c r="U3" s="4">
        <v>356</v>
      </c>
      <c r="V3" s="41">
        <v>16.399999999999999</v>
      </c>
      <c r="W3" s="4"/>
      <c r="X3" s="4">
        <v>13.2</v>
      </c>
      <c r="Y3" s="4">
        <v>1.56</v>
      </c>
      <c r="Z3" s="4"/>
      <c r="AA3" s="4">
        <v>22</v>
      </c>
      <c r="AB3" s="4">
        <v>0.94</v>
      </c>
      <c r="AC3" s="4">
        <v>132</v>
      </c>
      <c r="AD3" s="4"/>
      <c r="AE3" s="4"/>
      <c r="AF3" s="4"/>
      <c r="AG3" s="4" t="s">
        <v>81</v>
      </c>
      <c r="AH3" s="4" t="s">
        <v>81</v>
      </c>
      <c r="AI3" s="4">
        <v>83</v>
      </c>
      <c r="AJ3" s="4">
        <v>158</v>
      </c>
      <c r="AK3" s="4">
        <v>137</v>
      </c>
      <c r="AL3" s="4"/>
      <c r="AM3" s="4">
        <v>4</v>
      </c>
      <c r="AN3" s="4">
        <v>1</v>
      </c>
      <c r="AO3" s="4"/>
      <c r="AP3" s="4"/>
      <c r="AQ3" s="4"/>
      <c r="AR3" s="4"/>
      <c r="AS3" s="4"/>
      <c r="AT3" s="4"/>
      <c r="AU3" s="4"/>
      <c r="AV3" s="4"/>
      <c r="AW3" s="4"/>
      <c r="AX3" s="4">
        <v>2</v>
      </c>
      <c r="AY3" s="4">
        <v>9</v>
      </c>
      <c r="AZ3" s="4">
        <v>22</v>
      </c>
      <c r="BA3" s="4">
        <v>7.04</v>
      </c>
      <c r="BB3" s="4">
        <v>2</v>
      </c>
      <c r="BC3" s="4">
        <v>1</v>
      </c>
      <c r="BD3" s="4">
        <v>0.14399999999999999</v>
      </c>
      <c r="BE3" s="4">
        <v>10.7</v>
      </c>
      <c r="BF3" s="4">
        <v>1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 t="s">
        <v>81</v>
      </c>
      <c r="BN3" s="4">
        <v>0</v>
      </c>
      <c r="BO3" s="4" t="s">
        <v>81</v>
      </c>
      <c r="BP3" s="4" t="s">
        <v>81</v>
      </c>
      <c r="BQ3" s="4" t="s">
        <v>81</v>
      </c>
      <c r="BR3" s="4" t="s">
        <v>81</v>
      </c>
      <c r="BS3" s="4">
        <v>1</v>
      </c>
      <c r="BT3" s="4" t="s">
        <v>81</v>
      </c>
      <c r="BU3" s="4">
        <v>0</v>
      </c>
      <c r="BV3" s="4">
        <v>77.12</v>
      </c>
      <c r="BW3" s="5">
        <v>3</v>
      </c>
      <c r="BX3" s="4">
        <v>0</v>
      </c>
      <c r="BY3" s="4">
        <v>3</v>
      </c>
      <c r="BZ3" s="4">
        <v>0</v>
      </c>
      <c r="CA3" s="4">
        <v>6</v>
      </c>
      <c r="CB3" s="4">
        <v>3</v>
      </c>
      <c r="CC3" s="4">
        <v>90</v>
      </c>
      <c r="CD3" s="4">
        <v>63.12</v>
      </c>
    </row>
    <row r="4" spans="1:82" x14ac:dyDescent="0.25">
      <c r="A4" s="4">
        <v>3</v>
      </c>
      <c r="B4" s="4" t="s">
        <v>77</v>
      </c>
      <c r="C4" s="4" t="s">
        <v>86</v>
      </c>
      <c r="D4" s="4" t="s">
        <v>737</v>
      </c>
      <c r="E4" s="5" t="s">
        <v>724</v>
      </c>
      <c r="F4" s="5" t="s">
        <v>730</v>
      </c>
      <c r="G4" s="4" t="s">
        <v>79</v>
      </c>
      <c r="H4" s="5">
        <v>48</v>
      </c>
      <c r="I4" s="5" t="s">
        <v>85</v>
      </c>
      <c r="J4" s="6">
        <v>22605</v>
      </c>
      <c r="K4" s="6">
        <v>40378</v>
      </c>
      <c r="L4" s="6">
        <v>40381</v>
      </c>
      <c r="M4" s="6">
        <v>40378</v>
      </c>
      <c r="N4" s="4">
        <v>21</v>
      </c>
      <c r="O4" s="4">
        <v>125</v>
      </c>
      <c r="P4" s="4">
        <v>7800</v>
      </c>
      <c r="Q4" s="4">
        <v>51</v>
      </c>
      <c r="R4" s="4">
        <v>195</v>
      </c>
      <c r="S4" s="4">
        <v>44</v>
      </c>
      <c r="T4" s="4">
        <v>434</v>
      </c>
      <c r="U4" s="4">
        <v>380</v>
      </c>
      <c r="V4" s="41">
        <v>20.5</v>
      </c>
      <c r="W4" s="4"/>
      <c r="X4" s="4">
        <v>13.5</v>
      </c>
      <c r="Y4" s="4">
        <v>2.11</v>
      </c>
      <c r="Z4" s="4"/>
      <c r="AA4" s="4">
        <v>32</v>
      </c>
      <c r="AB4" s="4">
        <v>0.72</v>
      </c>
      <c r="AC4" s="4">
        <v>135</v>
      </c>
      <c r="AD4" s="4"/>
      <c r="AE4" s="4"/>
      <c r="AF4" s="4"/>
      <c r="AG4" s="4">
        <v>124</v>
      </c>
      <c r="AH4" s="4">
        <v>66</v>
      </c>
      <c r="AI4" s="4">
        <v>69</v>
      </c>
      <c r="AJ4" s="4">
        <v>206</v>
      </c>
      <c r="AK4" s="4">
        <v>133</v>
      </c>
      <c r="AL4" s="4"/>
      <c r="AM4" s="4">
        <v>4</v>
      </c>
      <c r="AN4" s="4">
        <v>1</v>
      </c>
      <c r="AO4" s="4"/>
      <c r="AP4" s="4"/>
      <c r="AQ4" s="4"/>
      <c r="AR4" s="4"/>
      <c r="AS4" s="4"/>
      <c r="AT4" s="4"/>
      <c r="AU4" s="4"/>
      <c r="AV4" s="4"/>
      <c r="AW4" s="4"/>
      <c r="AX4" s="4">
        <v>2</v>
      </c>
      <c r="AY4" s="4">
        <v>9</v>
      </c>
      <c r="AZ4" s="4">
        <v>26</v>
      </c>
      <c r="BA4" s="4">
        <v>8.34</v>
      </c>
      <c r="BB4" s="4">
        <v>2</v>
      </c>
      <c r="BC4" s="4">
        <v>1</v>
      </c>
      <c r="BD4" s="4">
        <v>0.158</v>
      </c>
      <c r="BE4" s="4">
        <v>12</v>
      </c>
      <c r="BF4" s="4">
        <v>1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 t="s">
        <v>81</v>
      </c>
      <c r="BN4" s="4">
        <v>0</v>
      </c>
      <c r="BO4" s="4" t="s">
        <v>81</v>
      </c>
      <c r="BP4" s="4">
        <v>100</v>
      </c>
      <c r="BQ4" s="4">
        <v>36</v>
      </c>
      <c r="BR4" s="4" t="s">
        <v>81</v>
      </c>
      <c r="BS4" s="4">
        <v>1</v>
      </c>
      <c r="BT4" s="4" t="s">
        <v>81</v>
      </c>
      <c r="BU4" s="4">
        <v>0</v>
      </c>
      <c r="BV4" s="4">
        <v>82.6</v>
      </c>
      <c r="BW4" s="5">
        <v>3</v>
      </c>
      <c r="BX4" s="4">
        <v>0</v>
      </c>
      <c r="BY4" s="4">
        <v>2</v>
      </c>
      <c r="BZ4" s="4">
        <v>0</v>
      </c>
      <c r="CA4" s="4">
        <v>5</v>
      </c>
      <c r="CB4" s="4">
        <v>2</v>
      </c>
      <c r="CC4" s="4">
        <v>90</v>
      </c>
      <c r="CD4" s="4">
        <v>68.599999999999994</v>
      </c>
    </row>
    <row r="5" spans="1:82" x14ac:dyDescent="0.25">
      <c r="A5" s="4">
        <v>4</v>
      </c>
      <c r="B5" s="4" t="s">
        <v>77</v>
      </c>
      <c r="C5" s="4" t="s">
        <v>87</v>
      </c>
      <c r="D5" s="4" t="s">
        <v>737</v>
      </c>
      <c r="E5" s="5" t="s">
        <v>725</v>
      </c>
      <c r="F5" s="5" t="s">
        <v>730</v>
      </c>
      <c r="G5" s="4" t="s">
        <v>79</v>
      </c>
      <c r="H5" s="5">
        <v>65</v>
      </c>
      <c r="I5" s="5" t="s">
        <v>80</v>
      </c>
      <c r="J5" s="6">
        <v>16319</v>
      </c>
      <c r="K5" s="6">
        <v>40392</v>
      </c>
      <c r="L5" s="6">
        <v>40393</v>
      </c>
      <c r="M5" s="6">
        <v>40393</v>
      </c>
      <c r="N5" s="4">
        <v>15.5</v>
      </c>
      <c r="O5" s="4">
        <v>114</v>
      </c>
      <c r="P5" s="4">
        <v>7500</v>
      </c>
      <c r="Q5" s="4">
        <v>152</v>
      </c>
      <c r="R5" s="4">
        <v>136</v>
      </c>
      <c r="S5" s="4">
        <v>78</v>
      </c>
      <c r="T5" s="4">
        <v>303</v>
      </c>
      <c r="U5" s="4">
        <v>498</v>
      </c>
      <c r="V5" s="41">
        <v>35.799999999999997</v>
      </c>
      <c r="W5" s="4"/>
      <c r="X5" s="4">
        <v>14.5</v>
      </c>
      <c r="Y5" s="4">
        <v>1.62</v>
      </c>
      <c r="Z5" s="4"/>
      <c r="AA5" s="4">
        <v>29</v>
      </c>
      <c r="AB5" s="4">
        <v>1.1599999999999999</v>
      </c>
      <c r="AC5" s="4">
        <v>145</v>
      </c>
      <c r="AD5" s="4"/>
      <c r="AE5" s="4"/>
      <c r="AF5" s="4"/>
      <c r="AG5" s="4">
        <v>130</v>
      </c>
      <c r="AH5" s="4">
        <v>80</v>
      </c>
      <c r="AI5" s="4">
        <v>80</v>
      </c>
      <c r="AJ5" s="4">
        <v>155</v>
      </c>
      <c r="AK5" s="4">
        <v>220</v>
      </c>
      <c r="AL5" s="4"/>
      <c r="AM5" s="4">
        <v>4</v>
      </c>
      <c r="AN5" s="4">
        <v>1</v>
      </c>
      <c r="AO5" s="4"/>
      <c r="AP5" s="4"/>
      <c r="AQ5" s="4"/>
      <c r="AR5" s="4"/>
      <c r="AS5" s="4"/>
      <c r="AT5" s="4"/>
      <c r="AU5" s="4"/>
      <c r="AV5" s="4"/>
      <c r="AW5" s="4"/>
      <c r="AX5" s="4">
        <v>2</v>
      </c>
      <c r="AY5" s="4">
        <v>9</v>
      </c>
      <c r="AZ5" s="4">
        <v>27</v>
      </c>
      <c r="BA5" s="4">
        <v>11.7</v>
      </c>
      <c r="BB5" s="4">
        <v>3</v>
      </c>
      <c r="BC5" s="4">
        <v>1</v>
      </c>
      <c r="BD5" s="4">
        <v>0.57399999999999995</v>
      </c>
      <c r="BE5" s="4">
        <v>22.4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 t="s">
        <v>81</v>
      </c>
      <c r="BN5" s="4">
        <v>0</v>
      </c>
      <c r="BO5" s="4" t="s">
        <v>81</v>
      </c>
      <c r="BP5" s="4">
        <v>110</v>
      </c>
      <c r="BQ5" s="4">
        <v>37.6</v>
      </c>
      <c r="BR5" s="4" t="s">
        <v>88</v>
      </c>
      <c r="BS5" s="4">
        <v>1</v>
      </c>
      <c r="BT5" s="4" t="s">
        <v>81</v>
      </c>
      <c r="BU5" s="4">
        <v>0</v>
      </c>
      <c r="BV5" s="4">
        <v>102.5</v>
      </c>
      <c r="BW5" s="5">
        <v>3</v>
      </c>
      <c r="BX5" s="4">
        <v>-1</v>
      </c>
      <c r="BY5" s="4">
        <v>4</v>
      </c>
      <c r="BZ5" s="4">
        <v>-1</v>
      </c>
      <c r="CA5" s="4">
        <v>5</v>
      </c>
      <c r="CB5" s="4">
        <v>2</v>
      </c>
      <c r="CC5" s="4">
        <v>90</v>
      </c>
      <c r="CD5" s="4">
        <v>88.5</v>
      </c>
    </row>
    <row r="6" spans="1:82" x14ac:dyDescent="0.25">
      <c r="A6" s="4">
        <v>5</v>
      </c>
      <c r="B6" s="4" t="s">
        <v>77</v>
      </c>
      <c r="C6" s="4" t="s">
        <v>89</v>
      </c>
      <c r="D6" s="4" t="s">
        <v>737</v>
      </c>
      <c r="E6" s="5" t="s">
        <v>724</v>
      </c>
      <c r="F6" s="5" t="s">
        <v>730</v>
      </c>
      <c r="G6" s="4" t="s">
        <v>79</v>
      </c>
      <c r="H6" s="5">
        <v>57</v>
      </c>
      <c r="I6" s="5" t="s">
        <v>85</v>
      </c>
      <c r="J6" s="6">
        <v>19251</v>
      </c>
      <c r="K6" s="6">
        <v>40235</v>
      </c>
      <c r="L6" s="6">
        <v>40239</v>
      </c>
      <c r="M6" s="6">
        <v>40235</v>
      </c>
      <c r="N6" s="4">
        <v>19</v>
      </c>
      <c r="O6" s="4">
        <v>113</v>
      </c>
      <c r="P6" s="4">
        <v>16100</v>
      </c>
      <c r="Q6" s="4">
        <v>111</v>
      </c>
      <c r="R6" s="4">
        <v>226</v>
      </c>
      <c r="S6" s="4">
        <v>55</v>
      </c>
      <c r="T6" s="4">
        <v>687</v>
      </c>
      <c r="U6" s="4">
        <v>711</v>
      </c>
      <c r="V6" s="41">
        <v>12.7</v>
      </c>
      <c r="W6" s="4"/>
      <c r="X6" s="4">
        <v>12.4</v>
      </c>
      <c r="Y6" s="4">
        <v>1.67</v>
      </c>
      <c r="Z6" s="4"/>
      <c r="AA6" s="4">
        <v>24</v>
      </c>
      <c r="AB6" s="4">
        <v>1.2</v>
      </c>
      <c r="AC6" s="4">
        <v>124</v>
      </c>
      <c r="AD6" s="4"/>
      <c r="AE6" s="4"/>
      <c r="AF6" s="4"/>
      <c r="AG6" s="4">
        <v>121</v>
      </c>
      <c r="AH6" s="4">
        <v>77</v>
      </c>
      <c r="AI6" s="4">
        <v>94</v>
      </c>
      <c r="AJ6" s="4">
        <v>166</v>
      </c>
      <c r="AK6" s="4">
        <v>127</v>
      </c>
      <c r="AL6" s="4"/>
      <c r="AM6" s="4">
        <v>3</v>
      </c>
      <c r="AN6" s="4">
        <v>0</v>
      </c>
      <c r="AO6" s="4"/>
      <c r="AP6" s="4"/>
      <c r="AQ6" s="4"/>
      <c r="AR6" s="4"/>
      <c r="AS6" s="4"/>
      <c r="AT6" s="4"/>
      <c r="AU6" s="4"/>
      <c r="AV6" s="4"/>
      <c r="AW6" s="4"/>
      <c r="AX6" s="4">
        <v>3</v>
      </c>
      <c r="AY6" s="4">
        <v>12</v>
      </c>
      <c r="AZ6" s="4">
        <v>24</v>
      </c>
      <c r="BA6" s="4">
        <v>8.3800000000000008</v>
      </c>
      <c r="BB6" s="4">
        <v>2</v>
      </c>
      <c r="BC6" s="4">
        <v>1</v>
      </c>
      <c r="BD6" s="4">
        <v>0.3</v>
      </c>
      <c r="BE6" s="4" t="s">
        <v>81</v>
      </c>
      <c r="BF6" s="4">
        <v>1</v>
      </c>
      <c r="BG6" s="4">
        <v>0</v>
      </c>
      <c r="BH6" s="4">
        <v>0</v>
      </c>
      <c r="BI6" s="4">
        <v>0</v>
      </c>
      <c r="BJ6" s="4">
        <v>1</v>
      </c>
      <c r="BK6" s="4">
        <v>0</v>
      </c>
      <c r="BL6" s="4">
        <v>1</v>
      </c>
      <c r="BM6" s="4" t="s">
        <v>90</v>
      </c>
      <c r="BN6" s="4">
        <v>0</v>
      </c>
      <c r="BO6" s="4">
        <v>16</v>
      </c>
      <c r="BP6" s="4">
        <v>101</v>
      </c>
      <c r="BQ6" s="4">
        <v>36.5</v>
      </c>
      <c r="BR6" s="4" t="s">
        <v>81</v>
      </c>
      <c r="BS6" s="4">
        <v>1</v>
      </c>
      <c r="BT6" s="4" t="s">
        <v>81</v>
      </c>
      <c r="BU6" s="4">
        <v>0</v>
      </c>
      <c r="BV6" s="4">
        <v>69.739999999999995</v>
      </c>
      <c r="BW6" s="5">
        <v>2</v>
      </c>
      <c r="BX6" s="4">
        <v>-1</v>
      </c>
      <c r="BY6" s="4">
        <v>4</v>
      </c>
      <c r="BZ6" s="4">
        <v>0</v>
      </c>
      <c r="CA6" s="4">
        <v>5</v>
      </c>
      <c r="CB6" s="4">
        <v>2</v>
      </c>
      <c r="CC6" s="4">
        <v>90</v>
      </c>
      <c r="CD6" s="4">
        <v>55.74</v>
      </c>
    </row>
    <row r="7" spans="1:82" x14ac:dyDescent="0.25">
      <c r="A7" s="4">
        <v>6</v>
      </c>
      <c r="B7" s="4" t="s">
        <v>77</v>
      </c>
      <c r="C7" s="4" t="s">
        <v>91</v>
      </c>
      <c r="D7" s="4" t="s">
        <v>737</v>
      </c>
      <c r="E7" s="5" t="s">
        <v>724</v>
      </c>
      <c r="F7" s="5" t="s">
        <v>730</v>
      </c>
      <c r="G7" s="4" t="s">
        <v>79</v>
      </c>
      <c r="H7" s="5">
        <v>47</v>
      </c>
      <c r="I7" s="5" t="s">
        <v>80</v>
      </c>
      <c r="J7" s="6">
        <v>23390</v>
      </c>
      <c r="K7" s="6">
        <v>40687</v>
      </c>
      <c r="L7" s="6">
        <v>40688</v>
      </c>
      <c r="M7" s="6">
        <v>40687</v>
      </c>
      <c r="N7" s="4">
        <v>14</v>
      </c>
      <c r="O7" s="4">
        <v>135</v>
      </c>
      <c r="P7" s="4">
        <v>8530</v>
      </c>
      <c r="Q7" s="4">
        <v>124</v>
      </c>
      <c r="R7" s="4">
        <v>130</v>
      </c>
      <c r="S7" s="4">
        <v>67</v>
      </c>
      <c r="T7" s="4">
        <v>456</v>
      </c>
      <c r="U7" s="4">
        <v>847</v>
      </c>
      <c r="V7" s="41">
        <v>10</v>
      </c>
      <c r="W7" s="4"/>
      <c r="X7" s="4">
        <v>20.100000000000001</v>
      </c>
      <c r="Y7" s="4">
        <v>1.76</v>
      </c>
      <c r="Z7" s="4"/>
      <c r="AA7" s="4">
        <v>29</v>
      </c>
      <c r="AB7" s="4">
        <v>0.57999999999999996</v>
      </c>
      <c r="AC7" s="4">
        <v>134</v>
      </c>
      <c r="AD7" s="4"/>
      <c r="AE7" s="4"/>
      <c r="AF7" s="4"/>
      <c r="AG7" s="4" t="s">
        <v>81</v>
      </c>
      <c r="AH7" s="4" t="s">
        <v>81</v>
      </c>
      <c r="AI7" s="4">
        <v>131</v>
      </c>
      <c r="AJ7" s="4">
        <v>96</v>
      </c>
      <c r="AK7" s="4">
        <v>91</v>
      </c>
      <c r="AL7" s="4"/>
      <c r="AM7" s="4">
        <v>4</v>
      </c>
      <c r="AN7" s="4">
        <v>1</v>
      </c>
      <c r="AO7" s="4"/>
      <c r="AP7" s="4"/>
      <c r="AQ7" s="4"/>
      <c r="AR7" s="4"/>
      <c r="AS7" s="4"/>
      <c r="AT7" s="4"/>
      <c r="AU7" s="4"/>
      <c r="AV7" s="4"/>
      <c r="AW7" s="4"/>
      <c r="AX7" s="4">
        <v>2</v>
      </c>
      <c r="AY7" s="4">
        <v>10</v>
      </c>
      <c r="AZ7" s="4">
        <v>21</v>
      </c>
      <c r="BA7" s="4">
        <v>7.08</v>
      </c>
      <c r="BB7" s="4">
        <v>2</v>
      </c>
      <c r="BC7" s="4">
        <v>1</v>
      </c>
      <c r="BD7" s="4">
        <v>0.17499999999999999</v>
      </c>
      <c r="BE7" s="4">
        <v>8.5</v>
      </c>
      <c r="BF7" s="4">
        <v>1</v>
      </c>
      <c r="BG7" s="4">
        <v>0</v>
      </c>
      <c r="BH7" s="4">
        <v>0</v>
      </c>
      <c r="BI7" s="4">
        <v>0</v>
      </c>
      <c r="BJ7" s="4">
        <v>1</v>
      </c>
      <c r="BK7" s="4">
        <v>0</v>
      </c>
      <c r="BL7" s="4">
        <v>1</v>
      </c>
      <c r="BM7" s="4" t="s">
        <v>92</v>
      </c>
      <c r="BN7" s="4">
        <v>0</v>
      </c>
      <c r="BO7" s="4" t="s">
        <v>81</v>
      </c>
      <c r="BP7" s="4" t="s">
        <v>81</v>
      </c>
      <c r="BQ7" s="4">
        <v>37.299999999999997</v>
      </c>
      <c r="BR7" s="4" t="s">
        <v>81</v>
      </c>
      <c r="BS7" s="4">
        <v>1</v>
      </c>
      <c r="BT7" s="4">
        <v>7.02</v>
      </c>
      <c r="BU7" s="4">
        <v>0</v>
      </c>
      <c r="BV7" s="4">
        <v>102.46</v>
      </c>
      <c r="BW7" s="5">
        <v>3</v>
      </c>
      <c r="BX7" s="4">
        <v>0</v>
      </c>
      <c r="BY7" s="4">
        <v>1</v>
      </c>
      <c r="BZ7" s="4">
        <v>0</v>
      </c>
      <c r="CA7" s="4">
        <v>4</v>
      </c>
      <c r="CB7" s="4">
        <v>2</v>
      </c>
      <c r="CC7" s="4">
        <v>90</v>
      </c>
      <c r="CD7" s="4">
        <v>88.46</v>
      </c>
    </row>
    <row r="8" spans="1:82" x14ac:dyDescent="0.25">
      <c r="A8" s="4">
        <v>7</v>
      </c>
      <c r="B8" s="4" t="s">
        <v>77</v>
      </c>
      <c r="C8" s="4" t="s">
        <v>93</v>
      </c>
      <c r="D8" s="4" t="s">
        <v>737</v>
      </c>
      <c r="E8" s="5" t="s">
        <v>724</v>
      </c>
      <c r="F8" s="5" t="s">
        <v>730</v>
      </c>
      <c r="G8" s="4" t="s">
        <v>79</v>
      </c>
      <c r="H8" s="5">
        <v>52</v>
      </c>
      <c r="I8" s="5" t="s">
        <v>85</v>
      </c>
      <c r="J8" s="6">
        <v>21140</v>
      </c>
      <c r="K8" s="6">
        <v>40262</v>
      </c>
      <c r="L8" s="6">
        <v>40274</v>
      </c>
      <c r="M8" s="6">
        <v>40274</v>
      </c>
      <c r="N8" s="4">
        <v>20</v>
      </c>
      <c r="O8" s="4">
        <v>83</v>
      </c>
      <c r="P8" s="4">
        <v>8280</v>
      </c>
      <c r="Q8" s="4">
        <v>52</v>
      </c>
      <c r="R8" s="4">
        <v>175</v>
      </c>
      <c r="S8" s="4">
        <v>57</v>
      </c>
      <c r="T8" s="4">
        <v>175</v>
      </c>
      <c r="U8" s="4">
        <v>223</v>
      </c>
      <c r="V8" s="41">
        <v>26.6</v>
      </c>
      <c r="W8" s="4"/>
      <c r="X8" s="4">
        <v>13.4</v>
      </c>
      <c r="Y8" s="4">
        <v>1.59</v>
      </c>
      <c r="Z8" s="4"/>
      <c r="AA8" s="4">
        <v>32</v>
      </c>
      <c r="AB8" s="4">
        <v>0.84</v>
      </c>
      <c r="AC8" s="4">
        <v>134</v>
      </c>
      <c r="AD8" s="4"/>
      <c r="AE8" s="4"/>
      <c r="AF8" s="4"/>
      <c r="AG8" s="4" t="s">
        <v>81</v>
      </c>
      <c r="AH8" s="4" t="s">
        <v>81</v>
      </c>
      <c r="AI8" s="4">
        <v>52</v>
      </c>
      <c r="AJ8" s="4">
        <v>49</v>
      </c>
      <c r="AK8" s="4">
        <v>124</v>
      </c>
      <c r="AL8" s="4"/>
      <c r="AM8" s="4">
        <v>4</v>
      </c>
      <c r="AN8" s="4">
        <v>1</v>
      </c>
      <c r="AO8" s="4"/>
      <c r="AP8" s="4"/>
      <c r="AQ8" s="4"/>
      <c r="AR8" s="4"/>
      <c r="AS8" s="4"/>
      <c r="AT8" s="4"/>
      <c r="AU8" s="4"/>
      <c r="AV8" s="4"/>
      <c r="AW8" s="4"/>
      <c r="AX8" s="4">
        <v>3</v>
      </c>
      <c r="AY8" s="4">
        <v>10</v>
      </c>
      <c r="AZ8" s="4">
        <v>24</v>
      </c>
      <c r="BA8" s="4">
        <v>8.9</v>
      </c>
      <c r="BB8" s="4">
        <v>2</v>
      </c>
      <c r="BC8" s="4">
        <v>1</v>
      </c>
      <c r="BD8" s="4">
        <v>0.11</v>
      </c>
      <c r="BE8" s="4">
        <v>16.2</v>
      </c>
      <c r="BF8" s="4">
        <v>1</v>
      </c>
      <c r="BG8" s="4">
        <v>0</v>
      </c>
      <c r="BH8" s="4">
        <v>0</v>
      </c>
      <c r="BI8" s="4">
        <v>0</v>
      </c>
      <c r="BJ8" s="4">
        <v>1</v>
      </c>
      <c r="BK8" s="4">
        <v>0</v>
      </c>
      <c r="BL8" s="4">
        <v>1</v>
      </c>
      <c r="BM8" s="4" t="s">
        <v>90</v>
      </c>
      <c r="BN8" s="4">
        <v>1</v>
      </c>
      <c r="BO8" s="4" t="s">
        <v>81</v>
      </c>
      <c r="BP8" s="4" t="s">
        <v>81</v>
      </c>
      <c r="BQ8" s="4" t="s">
        <v>81</v>
      </c>
      <c r="BR8" s="4" t="s">
        <v>94</v>
      </c>
      <c r="BS8" s="4">
        <v>1</v>
      </c>
      <c r="BT8" s="4">
        <v>3.71</v>
      </c>
      <c r="BU8" s="4">
        <v>1</v>
      </c>
      <c r="BV8" s="4">
        <v>88.24</v>
      </c>
      <c r="BW8" s="5">
        <v>3</v>
      </c>
      <c r="BX8" s="4">
        <v>0</v>
      </c>
      <c r="BY8" s="4">
        <v>2</v>
      </c>
      <c r="BZ8" s="4">
        <v>0</v>
      </c>
      <c r="CA8" s="4">
        <v>5</v>
      </c>
      <c r="CB8" s="4">
        <v>2</v>
      </c>
      <c r="CC8" s="4">
        <v>90</v>
      </c>
      <c r="CD8" s="4">
        <v>74.239999999999995</v>
      </c>
    </row>
    <row r="9" spans="1:82" x14ac:dyDescent="0.25">
      <c r="A9" s="4">
        <v>8</v>
      </c>
      <c r="B9" s="4" t="s">
        <v>77</v>
      </c>
      <c r="C9" s="4" t="s">
        <v>95</v>
      </c>
      <c r="D9" s="4" t="s">
        <v>737</v>
      </c>
      <c r="E9" s="5" t="s">
        <v>724</v>
      </c>
      <c r="F9" s="5" t="s">
        <v>731</v>
      </c>
      <c r="G9" s="4" t="s">
        <v>79</v>
      </c>
      <c r="H9" s="5">
        <v>30</v>
      </c>
      <c r="I9" s="5" t="s">
        <v>85</v>
      </c>
      <c r="J9" s="6">
        <v>29752</v>
      </c>
      <c r="K9" s="6">
        <v>40942</v>
      </c>
      <c r="L9" s="6">
        <v>40945</v>
      </c>
      <c r="M9" s="6">
        <v>40942</v>
      </c>
      <c r="N9" s="4">
        <v>19.5</v>
      </c>
      <c r="O9" s="4">
        <v>111</v>
      </c>
      <c r="P9" s="4">
        <v>11900</v>
      </c>
      <c r="Q9" s="4">
        <v>194</v>
      </c>
      <c r="R9" s="4">
        <v>146</v>
      </c>
      <c r="S9" s="4">
        <v>44</v>
      </c>
      <c r="T9" s="4">
        <v>284</v>
      </c>
      <c r="U9" s="4">
        <v>423</v>
      </c>
      <c r="V9" s="41">
        <v>21</v>
      </c>
      <c r="W9" s="4"/>
      <c r="X9" s="4">
        <v>21.1</v>
      </c>
      <c r="Y9" s="4">
        <v>1.74</v>
      </c>
      <c r="Z9" s="4"/>
      <c r="AA9" s="4">
        <v>23</v>
      </c>
      <c r="AB9" s="4">
        <v>0.4</v>
      </c>
      <c r="AC9" s="4">
        <v>140</v>
      </c>
      <c r="AD9" s="4"/>
      <c r="AE9" s="4"/>
      <c r="AF9" s="4"/>
      <c r="AG9" s="4" t="s">
        <v>81</v>
      </c>
      <c r="AH9" s="4" t="s">
        <v>81</v>
      </c>
      <c r="AI9" s="4">
        <v>106</v>
      </c>
      <c r="AJ9" s="4">
        <v>122</v>
      </c>
      <c r="AK9" s="4">
        <v>214</v>
      </c>
      <c r="AL9" s="4"/>
      <c r="AM9" s="4">
        <v>3</v>
      </c>
      <c r="AN9" s="4">
        <v>0</v>
      </c>
      <c r="AO9" s="4"/>
      <c r="AP9" s="4"/>
      <c r="AQ9" s="4"/>
      <c r="AR9" s="4"/>
      <c r="AS9" s="4"/>
      <c r="AT9" s="4"/>
      <c r="AU9" s="4"/>
      <c r="AV9" s="4"/>
      <c r="AW9" s="4"/>
      <c r="AX9" s="4">
        <v>3</v>
      </c>
      <c r="AY9" s="4">
        <v>11</v>
      </c>
      <c r="AZ9" s="4">
        <v>24</v>
      </c>
      <c r="BA9" s="4">
        <v>6.92</v>
      </c>
      <c r="BB9" s="4">
        <v>2</v>
      </c>
      <c r="BC9" s="4">
        <v>1</v>
      </c>
      <c r="BD9" s="4">
        <v>0.22</v>
      </c>
      <c r="BE9" s="4" t="s">
        <v>81</v>
      </c>
      <c r="BF9" s="4">
        <v>1</v>
      </c>
      <c r="BG9" s="4">
        <v>1</v>
      </c>
      <c r="BH9" s="4">
        <v>0</v>
      </c>
      <c r="BI9" s="4">
        <v>0</v>
      </c>
      <c r="BJ9" s="4">
        <v>1</v>
      </c>
      <c r="BK9" s="4">
        <v>0</v>
      </c>
      <c r="BL9" s="4">
        <v>1</v>
      </c>
      <c r="BM9" s="4" t="s">
        <v>90</v>
      </c>
      <c r="BN9" s="4">
        <v>0</v>
      </c>
      <c r="BO9" s="4" t="s">
        <v>81</v>
      </c>
      <c r="BP9" s="4" t="s">
        <v>81</v>
      </c>
      <c r="BQ9" s="4">
        <v>37.299999999999997</v>
      </c>
      <c r="BR9" s="4" t="s">
        <v>96</v>
      </c>
      <c r="BS9" s="4">
        <v>1</v>
      </c>
      <c r="BT9" s="4">
        <v>1.1399999999999999</v>
      </c>
      <c r="BU9" s="4">
        <v>1</v>
      </c>
      <c r="BV9" s="4" t="s">
        <v>81</v>
      </c>
      <c r="BW9" s="5" t="s">
        <v>81</v>
      </c>
      <c r="BX9" s="4" t="s">
        <v>81</v>
      </c>
      <c r="BY9" s="4" t="s">
        <v>81</v>
      </c>
      <c r="BZ9" s="4" t="s">
        <v>81</v>
      </c>
      <c r="CA9" s="4" t="s">
        <v>81</v>
      </c>
      <c r="CB9" s="4" t="s">
        <v>81</v>
      </c>
      <c r="CC9" s="4">
        <v>66</v>
      </c>
      <c r="CD9" s="4">
        <v>104.06</v>
      </c>
    </row>
    <row r="10" spans="1:82" x14ac:dyDescent="0.25">
      <c r="A10" s="4">
        <v>9</v>
      </c>
      <c r="B10" s="4" t="s">
        <v>77</v>
      </c>
      <c r="C10" s="4" t="s">
        <v>97</v>
      </c>
      <c r="D10" s="4" t="s">
        <v>737</v>
      </c>
      <c r="E10" s="5" t="s">
        <v>724</v>
      </c>
      <c r="F10" s="5" t="s">
        <v>730</v>
      </c>
      <c r="G10" s="4" t="s">
        <v>79</v>
      </c>
      <c r="H10" s="5">
        <v>55</v>
      </c>
      <c r="I10" s="5" t="s">
        <v>80</v>
      </c>
      <c r="J10" s="6">
        <v>20617</v>
      </c>
      <c r="K10" s="6">
        <v>41030</v>
      </c>
      <c r="L10" s="6">
        <v>41036</v>
      </c>
      <c r="M10" s="5">
        <v>41030</v>
      </c>
      <c r="N10" s="4">
        <v>22</v>
      </c>
      <c r="O10" s="4">
        <v>134</v>
      </c>
      <c r="P10" s="4">
        <v>3700</v>
      </c>
      <c r="Q10" s="4">
        <v>51</v>
      </c>
      <c r="R10" s="4">
        <v>66</v>
      </c>
      <c r="S10" s="4">
        <v>13</v>
      </c>
      <c r="T10" s="4">
        <v>177</v>
      </c>
      <c r="U10" s="4">
        <v>271</v>
      </c>
      <c r="V10" s="41">
        <v>5.7</v>
      </c>
      <c r="W10" s="4"/>
      <c r="X10" s="4">
        <v>17.7</v>
      </c>
      <c r="Y10" s="4">
        <v>1.56</v>
      </c>
      <c r="Z10" s="4"/>
      <c r="AA10" s="4">
        <v>25</v>
      </c>
      <c r="AB10" s="4">
        <v>0.98</v>
      </c>
      <c r="AC10" s="4">
        <v>132</v>
      </c>
      <c r="AD10" s="4"/>
      <c r="AE10" s="4"/>
      <c r="AF10" s="4"/>
      <c r="AG10" s="4">
        <v>128</v>
      </c>
      <c r="AH10" s="4">
        <v>84</v>
      </c>
      <c r="AI10" s="4">
        <v>104</v>
      </c>
      <c r="AJ10" s="4">
        <v>90</v>
      </c>
      <c r="AK10" s="4">
        <v>65</v>
      </c>
      <c r="AL10" s="4"/>
      <c r="AM10" s="4">
        <v>4</v>
      </c>
      <c r="AN10" s="4">
        <v>1</v>
      </c>
      <c r="AO10" s="4"/>
      <c r="AP10" s="4"/>
      <c r="AQ10" s="4"/>
      <c r="AR10" s="4"/>
      <c r="AS10" s="4"/>
      <c r="AT10" s="4"/>
      <c r="AU10" s="4"/>
      <c r="AV10" s="4"/>
      <c r="AW10" s="4"/>
      <c r="AX10" s="4">
        <v>3</v>
      </c>
      <c r="AY10" s="4">
        <v>11</v>
      </c>
      <c r="AZ10" s="4">
        <v>18</v>
      </c>
      <c r="BA10" s="4">
        <v>7.5</v>
      </c>
      <c r="BB10" s="4">
        <v>2</v>
      </c>
      <c r="BC10" s="4">
        <v>1</v>
      </c>
      <c r="BD10" s="4">
        <v>0.27</v>
      </c>
      <c r="BE10" s="4">
        <v>9.3000000000000007</v>
      </c>
      <c r="BF10" s="4">
        <v>1</v>
      </c>
      <c r="BG10" s="4">
        <v>0</v>
      </c>
      <c r="BH10" s="4">
        <v>0</v>
      </c>
      <c r="BI10" s="4">
        <v>0</v>
      </c>
      <c r="BJ10" s="4">
        <v>1</v>
      </c>
      <c r="BK10" s="4">
        <v>0</v>
      </c>
      <c r="BL10" s="4">
        <v>0</v>
      </c>
      <c r="BM10" s="4" t="s">
        <v>81</v>
      </c>
      <c r="BN10" s="4">
        <v>0</v>
      </c>
      <c r="BO10" s="4" t="s">
        <v>81</v>
      </c>
      <c r="BP10" s="4">
        <v>63</v>
      </c>
      <c r="BQ10" s="4" t="s">
        <v>81</v>
      </c>
      <c r="BR10" s="4" t="s">
        <v>81</v>
      </c>
      <c r="BS10" s="4">
        <v>0</v>
      </c>
      <c r="BT10" s="4">
        <v>2.57</v>
      </c>
      <c r="BU10" s="4">
        <v>0</v>
      </c>
      <c r="BV10" s="4" t="s">
        <v>81</v>
      </c>
      <c r="BW10" s="5" t="s">
        <v>81</v>
      </c>
      <c r="BX10" s="4" t="s">
        <v>81</v>
      </c>
      <c r="BY10" s="4" t="s">
        <v>81</v>
      </c>
      <c r="BZ10" s="4" t="s">
        <v>81</v>
      </c>
      <c r="CA10" s="4" t="s">
        <v>81</v>
      </c>
      <c r="CB10" s="4" t="s">
        <v>81</v>
      </c>
      <c r="CC10" s="4">
        <v>90</v>
      </c>
      <c r="CD10" s="4">
        <v>73.12</v>
      </c>
    </row>
    <row r="11" spans="1:82" x14ac:dyDescent="0.25">
      <c r="A11" s="4">
        <v>10</v>
      </c>
      <c r="B11" s="4" t="s">
        <v>98</v>
      </c>
      <c r="C11" s="4" t="s">
        <v>99</v>
      </c>
      <c r="D11" s="4" t="s">
        <v>737</v>
      </c>
      <c r="E11" s="5" t="s">
        <v>725</v>
      </c>
      <c r="F11" s="5" t="s">
        <v>731</v>
      </c>
      <c r="G11" s="4" t="s">
        <v>100</v>
      </c>
      <c r="H11" s="5">
        <v>50</v>
      </c>
      <c r="I11" s="5" t="s">
        <v>80</v>
      </c>
      <c r="J11" s="6">
        <v>22134</v>
      </c>
      <c r="K11" s="6">
        <v>40389</v>
      </c>
      <c r="L11" s="6">
        <v>40392</v>
      </c>
      <c r="M11" s="6">
        <v>40389</v>
      </c>
      <c r="N11" s="4">
        <v>23</v>
      </c>
      <c r="O11" s="4">
        <v>139</v>
      </c>
      <c r="P11" s="4">
        <v>5600</v>
      </c>
      <c r="Q11" s="4">
        <v>83</v>
      </c>
      <c r="R11" s="4">
        <v>117</v>
      </c>
      <c r="S11" s="4">
        <v>58</v>
      </c>
      <c r="T11" s="4">
        <v>394</v>
      </c>
      <c r="U11" s="4">
        <v>485</v>
      </c>
      <c r="V11" s="41">
        <v>19.600000000000001</v>
      </c>
      <c r="W11" s="4"/>
      <c r="X11" s="4">
        <v>13.7</v>
      </c>
      <c r="Y11" s="4">
        <v>1.42</v>
      </c>
      <c r="Z11" s="4"/>
      <c r="AA11" s="4">
        <v>33</v>
      </c>
      <c r="AB11" s="4">
        <v>0.69</v>
      </c>
      <c r="AC11" s="4">
        <v>137</v>
      </c>
      <c r="AD11" s="4"/>
      <c r="AE11" s="4"/>
      <c r="AF11" s="4"/>
      <c r="AG11" s="4">
        <v>132</v>
      </c>
      <c r="AH11" s="4">
        <v>58</v>
      </c>
      <c r="AI11" s="4">
        <v>102</v>
      </c>
      <c r="AJ11" s="4">
        <v>187</v>
      </c>
      <c r="AK11" s="4">
        <v>234</v>
      </c>
      <c r="AL11" s="4"/>
      <c r="AM11" s="4">
        <v>4</v>
      </c>
      <c r="AN11" s="4">
        <v>1</v>
      </c>
      <c r="AO11" s="4"/>
      <c r="AP11" s="4"/>
      <c r="AQ11" s="4"/>
      <c r="AR11" s="4"/>
      <c r="AS11" s="4"/>
      <c r="AT11" s="4"/>
      <c r="AU11" s="4"/>
      <c r="AV11" s="4"/>
      <c r="AW11" s="4"/>
      <c r="AX11" s="4">
        <v>2</v>
      </c>
      <c r="AY11" s="4">
        <v>9</v>
      </c>
      <c r="AZ11" s="4">
        <v>22</v>
      </c>
      <c r="BA11" s="4">
        <v>8.1</v>
      </c>
      <c r="BB11" s="4">
        <v>2</v>
      </c>
      <c r="BC11" s="4">
        <v>1</v>
      </c>
      <c r="BD11" s="4">
        <v>0.48899999999999999</v>
      </c>
      <c r="BE11" s="4">
        <v>24</v>
      </c>
      <c r="BF11" s="4">
        <v>0</v>
      </c>
      <c r="BG11" s="4">
        <v>1</v>
      </c>
      <c r="BH11" s="4">
        <v>0</v>
      </c>
      <c r="BI11" s="4">
        <v>0</v>
      </c>
      <c r="BJ11" s="4">
        <v>1</v>
      </c>
      <c r="BK11" s="4">
        <v>0</v>
      </c>
      <c r="BL11" s="4">
        <v>0</v>
      </c>
      <c r="BM11" s="4" t="s">
        <v>81</v>
      </c>
      <c r="BN11" s="4">
        <v>0</v>
      </c>
      <c r="BO11" s="4" t="s">
        <v>81</v>
      </c>
      <c r="BP11" s="4">
        <v>78</v>
      </c>
      <c r="BQ11" s="4">
        <v>35.5</v>
      </c>
      <c r="BR11" s="4" t="s">
        <v>101</v>
      </c>
      <c r="BS11" s="4">
        <v>1</v>
      </c>
      <c r="BT11" s="4" t="s">
        <v>81</v>
      </c>
      <c r="BU11" s="4">
        <v>0</v>
      </c>
      <c r="BV11" s="4">
        <v>82.62</v>
      </c>
      <c r="BW11" s="5">
        <v>2</v>
      </c>
      <c r="BX11" s="4">
        <v>-1</v>
      </c>
      <c r="BY11" s="4">
        <v>1</v>
      </c>
      <c r="BZ11" s="4">
        <v>0</v>
      </c>
      <c r="CA11" s="4">
        <v>2</v>
      </c>
      <c r="CB11" s="4">
        <v>1</v>
      </c>
      <c r="CC11" s="4">
        <v>39</v>
      </c>
      <c r="CD11" s="4">
        <v>68.62</v>
      </c>
    </row>
    <row r="12" spans="1:82" x14ac:dyDescent="0.25">
      <c r="A12" s="4">
        <v>11</v>
      </c>
      <c r="B12" s="4" t="s">
        <v>98</v>
      </c>
      <c r="C12" s="4" t="s">
        <v>102</v>
      </c>
      <c r="D12" s="4" t="s">
        <v>737</v>
      </c>
      <c r="E12" s="5" t="s">
        <v>725</v>
      </c>
      <c r="F12" s="5" t="s">
        <v>731</v>
      </c>
      <c r="G12" s="4" t="s">
        <v>100</v>
      </c>
      <c r="H12" s="5">
        <v>48</v>
      </c>
      <c r="I12" s="5" t="s">
        <v>85</v>
      </c>
      <c r="J12" s="6">
        <v>22761</v>
      </c>
      <c r="K12" s="6">
        <v>40427</v>
      </c>
      <c r="L12" s="6">
        <v>40428</v>
      </c>
      <c r="M12" s="6">
        <v>40428</v>
      </c>
      <c r="N12" s="4">
        <v>14</v>
      </c>
      <c r="O12" s="4">
        <v>89</v>
      </c>
      <c r="P12" s="4">
        <v>14880</v>
      </c>
      <c r="Q12" s="4">
        <v>231</v>
      </c>
      <c r="R12" s="4">
        <v>100</v>
      </c>
      <c r="S12" s="4">
        <v>78</v>
      </c>
      <c r="T12" s="4">
        <v>124</v>
      </c>
      <c r="U12" s="4">
        <v>219</v>
      </c>
      <c r="V12" s="41">
        <v>18.399999999999999</v>
      </c>
      <c r="W12" s="4"/>
      <c r="X12" s="4">
        <v>13</v>
      </c>
      <c r="Y12" s="4">
        <v>1.49</v>
      </c>
      <c r="Z12" s="4"/>
      <c r="AA12" s="4">
        <v>30</v>
      </c>
      <c r="AB12" s="4">
        <v>2.99</v>
      </c>
      <c r="AC12" s="4">
        <v>130</v>
      </c>
      <c r="AD12" s="4"/>
      <c r="AE12" s="4"/>
      <c r="AF12" s="4"/>
      <c r="AG12" s="4" t="s">
        <v>81</v>
      </c>
      <c r="AH12" s="4" t="s">
        <v>81</v>
      </c>
      <c r="AI12" s="4">
        <v>67</v>
      </c>
      <c r="AJ12" s="4">
        <v>134</v>
      </c>
      <c r="AK12" s="4">
        <v>126</v>
      </c>
      <c r="AL12" s="4"/>
      <c r="AM12" s="4">
        <v>4</v>
      </c>
      <c r="AN12" s="4">
        <v>1</v>
      </c>
      <c r="AO12" s="4"/>
      <c r="AP12" s="4"/>
      <c r="AQ12" s="4"/>
      <c r="AR12" s="4"/>
      <c r="AS12" s="4"/>
      <c r="AT12" s="4"/>
      <c r="AU12" s="4"/>
      <c r="AV12" s="4"/>
      <c r="AW12" s="4"/>
      <c r="AX12" s="4">
        <v>2</v>
      </c>
      <c r="AY12" s="4">
        <v>9</v>
      </c>
      <c r="AZ12" s="4">
        <v>32</v>
      </c>
      <c r="BA12" s="4">
        <v>8.6</v>
      </c>
      <c r="BB12" s="4">
        <v>2</v>
      </c>
      <c r="BC12" s="4">
        <v>1</v>
      </c>
      <c r="BD12" s="4" t="s">
        <v>81</v>
      </c>
      <c r="BE12" s="4">
        <v>12</v>
      </c>
      <c r="BF12" s="4">
        <v>0</v>
      </c>
      <c r="BG12" s="4">
        <v>1</v>
      </c>
      <c r="BH12" s="4">
        <v>1</v>
      </c>
      <c r="BI12" s="4">
        <v>0</v>
      </c>
      <c r="BJ12" s="4">
        <v>1</v>
      </c>
      <c r="BK12" s="4">
        <v>0</v>
      </c>
      <c r="BL12" s="4">
        <v>0</v>
      </c>
      <c r="BM12" s="4">
        <v>0</v>
      </c>
      <c r="BN12" s="4">
        <v>1</v>
      </c>
      <c r="BO12" s="4" t="s">
        <v>81</v>
      </c>
      <c r="BP12" s="4" t="s">
        <v>81</v>
      </c>
      <c r="BQ12" s="4" t="s">
        <v>81</v>
      </c>
      <c r="BR12" s="4" t="s">
        <v>103</v>
      </c>
      <c r="BS12" s="4">
        <v>1</v>
      </c>
      <c r="BT12" s="4" t="s">
        <v>81</v>
      </c>
      <c r="BU12" s="4">
        <v>1</v>
      </c>
      <c r="BV12" s="4">
        <v>78.2</v>
      </c>
      <c r="BW12" s="5">
        <v>3</v>
      </c>
      <c r="BX12" s="4">
        <v>0</v>
      </c>
      <c r="BY12" s="4">
        <v>3</v>
      </c>
      <c r="BZ12" s="4">
        <v>0</v>
      </c>
      <c r="CA12" s="4">
        <v>6</v>
      </c>
      <c r="CB12" s="4">
        <v>3</v>
      </c>
      <c r="CC12" s="4">
        <v>25</v>
      </c>
      <c r="CD12" s="4">
        <v>64.2</v>
      </c>
    </row>
    <row r="13" spans="1:82" x14ac:dyDescent="0.25">
      <c r="A13" s="4">
        <v>12</v>
      </c>
      <c r="B13" s="4" t="s">
        <v>98</v>
      </c>
      <c r="C13" s="4" t="s">
        <v>104</v>
      </c>
      <c r="D13" s="4" t="s">
        <v>737</v>
      </c>
      <c r="E13" s="5" t="s">
        <v>725</v>
      </c>
      <c r="F13" s="5" t="s">
        <v>731</v>
      </c>
      <c r="G13" s="4" t="s">
        <v>100</v>
      </c>
      <c r="H13" s="5">
        <v>29</v>
      </c>
      <c r="I13" s="5" t="s">
        <v>85</v>
      </c>
      <c r="J13" s="6">
        <v>29700</v>
      </c>
      <c r="K13" s="6">
        <v>40457</v>
      </c>
      <c r="L13" s="6">
        <v>40458</v>
      </c>
      <c r="M13" s="6">
        <v>40458</v>
      </c>
      <c r="N13" s="4">
        <v>21.5</v>
      </c>
      <c r="O13" s="4">
        <v>87</v>
      </c>
      <c r="P13" s="4">
        <v>12500</v>
      </c>
      <c r="Q13" s="4">
        <v>82</v>
      </c>
      <c r="R13" s="4">
        <v>92</v>
      </c>
      <c r="S13" s="4">
        <v>45</v>
      </c>
      <c r="T13" s="4">
        <v>72</v>
      </c>
      <c r="U13" s="4">
        <v>282</v>
      </c>
      <c r="V13" s="41">
        <v>26.8</v>
      </c>
      <c r="W13" s="4"/>
      <c r="X13" s="4">
        <v>13</v>
      </c>
      <c r="Y13" s="4">
        <v>3.32</v>
      </c>
      <c r="Z13" s="4"/>
      <c r="AA13" s="4">
        <v>21</v>
      </c>
      <c r="AB13" s="4">
        <v>1.05</v>
      </c>
      <c r="AC13" s="4">
        <v>130</v>
      </c>
      <c r="AD13" s="4"/>
      <c r="AE13" s="4"/>
      <c r="AF13" s="4"/>
      <c r="AG13" s="4" t="s">
        <v>81</v>
      </c>
      <c r="AH13" s="4" t="s">
        <v>81</v>
      </c>
      <c r="AI13" s="4">
        <v>101</v>
      </c>
      <c r="AJ13" s="4">
        <v>83</v>
      </c>
      <c r="AK13" s="4">
        <v>129</v>
      </c>
      <c r="AL13" s="4"/>
      <c r="AM13" s="4">
        <v>4</v>
      </c>
      <c r="AN13" s="4">
        <v>1</v>
      </c>
      <c r="AO13" s="4"/>
      <c r="AP13" s="4"/>
      <c r="AQ13" s="4"/>
      <c r="AR13" s="4"/>
      <c r="AS13" s="4"/>
      <c r="AT13" s="4"/>
      <c r="AU13" s="4"/>
      <c r="AV13" s="4"/>
      <c r="AW13" s="4"/>
      <c r="AX13" s="4">
        <v>3</v>
      </c>
      <c r="AY13" s="4">
        <v>13</v>
      </c>
      <c r="AZ13" s="4">
        <v>33</v>
      </c>
      <c r="BA13" s="4">
        <v>8.02</v>
      </c>
      <c r="BB13" s="4">
        <v>2</v>
      </c>
      <c r="BC13" s="4">
        <v>1</v>
      </c>
      <c r="BD13" s="4">
        <v>0.98</v>
      </c>
      <c r="BE13" s="4">
        <v>43.3</v>
      </c>
      <c r="BF13" s="4">
        <v>0</v>
      </c>
      <c r="BG13" s="4">
        <v>1</v>
      </c>
      <c r="BH13" s="4" t="s">
        <v>81</v>
      </c>
      <c r="BI13" s="4">
        <v>0</v>
      </c>
      <c r="BJ13" s="4">
        <v>0</v>
      </c>
      <c r="BK13" s="4">
        <v>1</v>
      </c>
      <c r="BL13" s="4">
        <v>0</v>
      </c>
      <c r="BM13" s="4" t="s">
        <v>81</v>
      </c>
      <c r="BN13" s="4">
        <v>0</v>
      </c>
      <c r="BO13" s="4" t="s">
        <v>81</v>
      </c>
      <c r="BP13" s="4" t="s">
        <v>81</v>
      </c>
      <c r="BQ13" s="4" t="s">
        <v>81</v>
      </c>
      <c r="BR13" s="4" t="s">
        <v>105</v>
      </c>
      <c r="BS13" s="4">
        <v>1</v>
      </c>
      <c r="BT13" s="4" t="s">
        <v>81</v>
      </c>
      <c r="BU13" s="4">
        <v>1</v>
      </c>
      <c r="BV13" s="4">
        <v>86.6</v>
      </c>
      <c r="BW13" s="5">
        <v>3</v>
      </c>
      <c r="BX13" s="4">
        <v>0</v>
      </c>
      <c r="BY13" s="4">
        <v>4</v>
      </c>
      <c r="BZ13" s="4">
        <v>0</v>
      </c>
      <c r="CA13" s="4">
        <v>7</v>
      </c>
      <c r="CB13" s="4">
        <v>3</v>
      </c>
      <c r="CC13" s="4">
        <v>22</v>
      </c>
      <c r="CD13" s="4">
        <v>72.599999999999994</v>
      </c>
    </row>
    <row r="14" spans="1:82" x14ac:dyDescent="0.25">
      <c r="A14" s="4">
        <v>13</v>
      </c>
      <c r="B14" s="4" t="s">
        <v>98</v>
      </c>
      <c r="C14" s="4" t="s">
        <v>106</v>
      </c>
      <c r="D14" s="4" t="s">
        <v>737</v>
      </c>
      <c r="E14" s="5" t="s">
        <v>725</v>
      </c>
      <c r="F14" s="5" t="s">
        <v>731</v>
      </c>
      <c r="G14" s="4" t="s">
        <v>100</v>
      </c>
      <c r="H14" s="5">
        <v>60</v>
      </c>
      <c r="I14" s="5" t="s">
        <v>80</v>
      </c>
      <c r="J14" s="6">
        <v>18611</v>
      </c>
      <c r="K14" s="6">
        <v>40564</v>
      </c>
      <c r="L14" s="6">
        <v>40567</v>
      </c>
      <c r="M14" s="6">
        <v>40564</v>
      </c>
      <c r="N14" s="4">
        <v>35</v>
      </c>
      <c r="O14" s="4">
        <v>128</v>
      </c>
      <c r="P14" s="4">
        <v>8000</v>
      </c>
      <c r="Q14" s="4">
        <v>148</v>
      </c>
      <c r="R14" s="4">
        <v>255</v>
      </c>
      <c r="S14" s="4">
        <v>61</v>
      </c>
      <c r="T14" s="4">
        <v>189</v>
      </c>
      <c r="U14" s="4">
        <v>166</v>
      </c>
      <c r="V14" s="41">
        <v>13.7</v>
      </c>
      <c r="W14" s="4"/>
      <c r="X14" s="4">
        <v>13.2</v>
      </c>
      <c r="Y14" s="4">
        <v>1.46</v>
      </c>
      <c r="Z14" s="4"/>
      <c r="AA14" s="4">
        <v>25</v>
      </c>
      <c r="AB14" s="4">
        <v>1.37</v>
      </c>
      <c r="AC14" s="4">
        <v>132</v>
      </c>
      <c r="AD14" s="4"/>
      <c r="AE14" s="4"/>
      <c r="AF14" s="4"/>
      <c r="AG14" s="4">
        <v>164</v>
      </c>
      <c r="AH14" s="4">
        <v>96</v>
      </c>
      <c r="AI14" s="4">
        <v>127</v>
      </c>
      <c r="AJ14" s="4">
        <v>175</v>
      </c>
      <c r="AK14" s="4">
        <v>242</v>
      </c>
      <c r="AL14" s="4"/>
      <c r="AM14" s="4">
        <v>4</v>
      </c>
      <c r="AN14" s="4">
        <v>1</v>
      </c>
      <c r="AO14" s="4"/>
      <c r="AP14" s="4"/>
      <c r="AQ14" s="4"/>
      <c r="AR14" s="4"/>
      <c r="AS14" s="4"/>
      <c r="AT14" s="4"/>
      <c r="AU14" s="4"/>
      <c r="AV14" s="4"/>
      <c r="AW14" s="4"/>
      <c r="AX14" s="4">
        <v>2</v>
      </c>
      <c r="AY14" s="4">
        <v>9</v>
      </c>
      <c r="AZ14" s="4">
        <v>24</v>
      </c>
      <c r="BA14" s="4">
        <v>8.68</v>
      </c>
      <c r="BB14" s="4">
        <v>2</v>
      </c>
      <c r="BC14" s="4">
        <v>1</v>
      </c>
      <c r="BD14" s="4">
        <v>0.98</v>
      </c>
      <c r="BE14" s="4">
        <v>23.4</v>
      </c>
      <c r="BF14" s="4">
        <v>0</v>
      </c>
      <c r="BG14" s="4">
        <v>1</v>
      </c>
      <c r="BH14" s="4">
        <v>1</v>
      </c>
      <c r="BI14" s="4">
        <v>0</v>
      </c>
      <c r="BJ14" s="4">
        <v>1</v>
      </c>
      <c r="BK14" s="4">
        <v>0</v>
      </c>
      <c r="BL14" s="4">
        <v>0</v>
      </c>
      <c r="BM14" s="4" t="s">
        <v>81</v>
      </c>
      <c r="BN14" s="4">
        <v>0</v>
      </c>
      <c r="BO14" s="4">
        <v>20</v>
      </c>
      <c r="BP14" s="4">
        <v>98</v>
      </c>
      <c r="BQ14" s="4">
        <v>36.6</v>
      </c>
      <c r="BR14" s="4" t="s">
        <v>107</v>
      </c>
      <c r="BS14" s="4">
        <v>1</v>
      </c>
      <c r="BT14" s="4" t="s">
        <v>81</v>
      </c>
      <c r="BU14" s="4">
        <v>1</v>
      </c>
      <c r="BV14" s="4">
        <v>74.42</v>
      </c>
      <c r="BW14" s="5">
        <v>3</v>
      </c>
      <c r="BX14" s="4">
        <v>0</v>
      </c>
      <c r="BY14" s="4">
        <v>4</v>
      </c>
      <c r="BZ14" s="4">
        <v>0</v>
      </c>
      <c r="CA14" s="4">
        <v>7</v>
      </c>
      <c r="CB14" s="4">
        <v>3</v>
      </c>
      <c r="CC14" s="4">
        <v>55</v>
      </c>
      <c r="CD14" s="4">
        <v>60.42</v>
      </c>
    </row>
    <row r="15" spans="1:82" x14ac:dyDescent="0.25">
      <c r="A15" s="4">
        <v>14</v>
      </c>
      <c r="B15" s="4" t="s">
        <v>98</v>
      </c>
      <c r="C15" s="4" t="s">
        <v>108</v>
      </c>
      <c r="D15" s="4" t="s">
        <v>737</v>
      </c>
      <c r="E15" s="5" t="s">
        <v>725</v>
      </c>
      <c r="F15" s="5" t="s">
        <v>730</v>
      </c>
      <c r="G15" s="4" t="s">
        <v>100</v>
      </c>
      <c r="H15" s="5">
        <v>56</v>
      </c>
      <c r="I15" s="5" t="s">
        <v>80</v>
      </c>
      <c r="J15" s="6">
        <v>23787</v>
      </c>
      <c r="K15" s="6">
        <v>40688</v>
      </c>
      <c r="L15" s="6">
        <v>40688</v>
      </c>
      <c r="M15" s="6">
        <v>40688</v>
      </c>
      <c r="N15" s="4">
        <v>30</v>
      </c>
      <c r="O15" s="4">
        <v>117</v>
      </c>
      <c r="P15" s="4">
        <v>9200</v>
      </c>
      <c r="Q15" s="4">
        <v>84</v>
      </c>
      <c r="R15" s="4">
        <v>249</v>
      </c>
      <c r="S15" s="4">
        <v>32</v>
      </c>
      <c r="T15" s="4">
        <v>837</v>
      </c>
      <c r="U15" s="4">
        <v>797</v>
      </c>
      <c r="V15" s="41">
        <v>13.9</v>
      </c>
      <c r="W15" s="4"/>
      <c r="X15" s="4">
        <v>19.5</v>
      </c>
      <c r="Y15" s="4">
        <v>1.68</v>
      </c>
      <c r="Z15" s="4"/>
      <c r="AA15" s="4">
        <v>26</v>
      </c>
      <c r="AB15" s="4">
        <v>0.74</v>
      </c>
      <c r="AC15" s="4">
        <v>132</v>
      </c>
      <c r="AD15" s="4"/>
      <c r="AE15" s="4"/>
      <c r="AF15" s="4"/>
      <c r="AG15" s="4">
        <v>129</v>
      </c>
      <c r="AH15" s="4">
        <v>77</v>
      </c>
      <c r="AI15" s="4">
        <v>95</v>
      </c>
      <c r="AJ15" s="4">
        <v>138</v>
      </c>
      <c r="AK15" s="4">
        <v>263</v>
      </c>
      <c r="AL15" s="4"/>
      <c r="AM15" s="4">
        <v>4</v>
      </c>
      <c r="AN15" s="4">
        <v>1</v>
      </c>
      <c r="AO15" s="4"/>
      <c r="AP15" s="4"/>
      <c r="AQ15" s="4"/>
      <c r="AR15" s="4"/>
      <c r="AS15" s="4"/>
      <c r="AT15" s="4"/>
      <c r="AU15" s="4"/>
      <c r="AV15" s="4"/>
      <c r="AW15" s="4"/>
      <c r="AX15" s="4">
        <v>3</v>
      </c>
      <c r="AY15" s="4">
        <v>12</v>
      </c>
      <c r="AZ15" s="4">
        <v>22</v>
      </c>
      <c r="BA15" s="4">
        <v>8.2799999999999994</v>
      </c>
      <c r="BB15" s="4">
        <v>2</v>
      </c>
      <c r="BC15" s="4">
        <v>1</v>
      </c>
      <c r="BD15" s="4" t="s">
        <v>81</v>
      </c>
      <c r="BE15" s="4">
        <v>17.600000000000001</v>
      </c>
      <c r="BF15" s="4">
        <v>0</v>
      </c>
      <c r="BG15" s="4">
        <v>0</v>
      </c>
      <c r="BH15" s="4">
        <v>0</v>
      </c>
      <c r="BI15" s="4">
        <v>0</v>
      </c>
      <c r="BJ15" s="4">
        <v>1</v>
      </c>
      <c r="BK15" s="4">
        <v>1</v>
      </c>
      <c r="BL15" s="4">
        <v>0</v>
      </c>
      <c r="BM15" s="4" t="s">
        <v>81</v>
      </c>
      <c r="BN15" s="4">
        <v>0</v>
      </c>
      <c r="BO15" s="4" t="s">
        <v>81</v>
      </c>
      <c r="BP15" s="4">
        <v>94</v>
      </c>
      <c r="BQ15" s="4">
        <v>35.299999999999997</v>
      </c>
      <c r="BR15" s="4" t="s">
        <v>81</v>
      </c>
      <c r="BS15" s="4">
        <v>1</v>
      </c>
      <c r="BT15" s="4">
        <v>2.48</v>
      </c>
      <c r="BU15" s="4">
        <v>0</v>
      </c>
      <c r="BV15" s="4">
        <v>103.6</v>
      </c>
      <c r="BW15" s="5">
        <v>3</v>
      </c>
      <c r="BX15" s="4">
        <v>-1</v>
      </c>
      <c r="BY15" s="4">
        <v>4</v>
      </c>
      <c r="BZ15" s="4">
        <v>-1</v>
      </c>
      <c r="CA15" s="4">
        <v>5</v>
      </c>
      <c r="CB15" s="4">
        <v>2</v>
      </c>
      <c r="CC15" s="4">
        <v>90</v>
      </c>
      <c r="CD15" s="4">
        <v>89.6</v>
      </c>
    </row>
    <row r="16" spans="1:82" x14ac:dyDescent="0.25">
      <c r="A16" s="4">
        <v>15</v>
      </c>
      <c r="B16" s="4" t="s">
        <v>98</v>
      </c>
      <c r="C16" s="4" t="s">
        <v>109</v>
      </c>
      <c r="D16" s="4" t="s">
        <v>737</v>
      </c>
      <c r="E16" s="5" t="s">
        <v>725</v>
      </c>
      <c r="F16" s="5" t="s">
        <v>731</v>
      </c>
      <c r="G16" s="4" t="s">
        <v>100</v>
      </c>
      <c r="H16" s="5">
        <v>49</v>
      </c>
      <c r="I16" s="5" t="s">
        <v>80</v>
      </c>
      <c r="J16" s="6">
        <v>22660</v>
      </c>
      <c r="K16" s="6">
        <v>40717</v>
      </c>
      <c r="L16" s="6">
        <v>40717</v>
      </c>
      <c r="M16" s="6">
        <v>40717</v>
      </c>
      <c r="N16" s="4" t="s">
        <v>81</v>
      </c>
      <c r="O16" s="4">
        <v>110</v>
      </c>
      <c r="P16" s="4">
        <v>15200</v>
      </c>
      <c r="Q16" s="4">
        <v>236</v>
      </c>
      <c r="R16" s="4">
        <v>125</v>
      </c>
      <c r="S16" s="4">
        <v>26</v>
      </c>
      <c r="T16" s="4">
        <v>457</v>
      </c>
      <c r="U16" s="4">
        <v>415</v>
      </c>
      <c r="V16" s="41">
        <v>30.8</v>
      </c>
      <c r="W16" s="4"/>
      <c r="X16" s="4">
        <v>25.9</v>
      </c>
      <c r="Y16" s="4">
        <v>2.2000000000000002</v>
      </c>
      <c r="Z16" s="4"/>
      <c r="AA16" s="4">
        <v>30</v>
      </c>
      <c r="AB16" s="4">
        <v>6.5</v>
      </c>
      <c r="AC16" s="4">
        <v>139</v>
      </c>
      <c r="AD16" s="4"/>
      <c r="AE16" s="4"/>
      <c r="AF16" s="4"/>
      <c r="AG16" s="4">
        <v>80</v>
      </c>
      <c r="AH16" s="4">
        <v>40</v>
      </c>
      <c r="AI16" s="4">
        <v>234</v>
      </c>
      <c r="AJ16" s="4">
        <v>117</v>
      </c>
      <c r="AK16" s="4">
        <v>163</v>
      </c>
      <c r="AL16" s="4"/>
      <c r="AM16" s="4">
        <v>4</v>
      </c>
      <c r="AN16" s="4">
        <v>1</v>
      </c>
      <c r="AO16" s="4"/>
      <c r="AP16" s="4"/>
      <c r="AQ16" s="4"/>
      <c r="AR16" s="4"/>
      <c r="AS16" s="4"/>
      <c r="AT16" s="4"/>
      <c r="AU16" s="4"/>
      <c r="AV16" s="4"/>
      <c r="AW16" s="4"/>
      <c r="AX16" s="4">
        <v>3</v>
      </c>
      <c r="AY16" s="4">
        <v>12</v>
      </c>
      <c r="AZ16" s="4">
        <v>41</v>
      </c>
      <c r="BA16" s="4">
        <v>11.07</v>
      </c>
      <c r="BB16" s="4">
        <v>3</v>
      </c>
      <c r="BC16" s="4">
        <v>1</v>
      </c>
      <c r="BD16" s="4" t="s">
        <v>81</v>
      </c>
      <c r="BE16" s="4" t="s">
        <v>81</v>
      </c>
      <c r="BF16" s="4">
        <v>0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 t="s">
        <v>110</v>
      </c>
      <c r="BN16" s="4">
        <v>1</v>
      </c>
      <c r="BO16" s="4" t="s">
        <v>81</v>
      </c>
      <c r="BP16" s="4">
        <v>70</v>
      </c>
      <c r="BQ16" s="4" t="s">
        <v>81</v>
      </c>
      <c r="BR16" s="4" t="s">
        <v>111</v>
      </c>
      <c r="BS16" s="4">
        <v>1</v>
      </c>
      <c r="BT16" s="4">
        <v>10.029999999999999</v>
      </c>
      <c r="BU16" s="4">
        <v>1</v>
      </c>
      <c r="BV16" s="4">
        <v>149.94</v>
      </c>
      <c r="BW16" s="5" t="s">
        <v>81</v>
      </c>
      <c r="BX16" s="4" t="s">
        <v>81</v>
      </c>
      <c r="BY16" s="4" t="s">
        <v>81</v>
      </c>
      <c r="BZ16" s="4" t="s">
        <v>81</v>
      </c>
      <c r="CA16" s="4" t="s">
        <v>81</v>
      </c>
      <c r="CB16" s="4" t="s">
        <v>81</v>
      </c>
      <c r="CC16" s="4">
        <v>5</v>
      </c>
      <c r="CD16" s="4">
        <v>135.94</v>
      </c>
    </row>
    <row r="17" spans="1:82" x14ac:dyDescent="0.25">
      <c r="A17" s="4">
        <v>16</v>
      </c>
      <c r="B17" s="4" t="s">
        <v>98</v>
      </c>
      <c r="C17" s="4" t="s">
        <v>112</v>
      </c>
      <c r="D17" s="4" t="s">
        <v>737</v>
      </c>
      <c r="E17" s="5" t="s">
        <v>725</v>
      </c>
      <c r="F17" s="5" t="s">
        <v>731</v>
      </c>
      <c r="G17" s="4" t="s">
        <v>100</v>
      </c>
      <c r="H17" s="5">
        <v>65</v>
      </c>
      <c r="I17" s="5" t="s">
        <v>80</v>
      </c>
      <c r="J17" s="6">
        <v>17173</v>
      </c>
      <c r="K17" s="6">
        <v>40920</v>
      </c>
      <c r="L17" s="6">
        <v>40924</v>
      </c>
      <c r="M17" s="6">
        <v>40921</v>
      </c>
      <c r="N17" s="4">
        <v>22</v>
      </c>
      <c r="O17" s="4">
        <v>118</v>
      </c>
      <c r="P17" s="4">
        <v>11500</v>
      </c>
      <c r="Q17" s="4">
        <v>253</v>
      </c>
      <c r="R17" s="4">
        <v>240</v>
      </c>
      <c r="S17" s="4">
        <v>90</v>
      </c>
      <c r="T17" s="4">
        <v>604</v>
      </c>
      <c r="U17" s="4">
        <v>389</v>
      </c>
      <c r="V17" s="41">
        <v>10.5</v>
      </c>
      <c r="W17" s="4"/>
      <c r="X17" s="4">
        <v>16.100000000000001</v>
      </c>
      <c r="Y17" s="4">
        <v>1.35</v>
      </c>
      <c r="Z17" s="4"/>
      <c r="AA17" s="4">
        <v>21</v>
      </c>
      <c r="AB17" s="4">
        <v>1.34</v>
      </c>
      <c r="AC17" s="4">
        <v>114</v>
      </c>
      <c r="AD17" s="4"/>
      <c r="AE17" s="4"/>
      <c r="AF17" s="4"/>
      <c r="AG17" s="4">
        <v>130</v>
      </c>
      <c r="AH17" s="4">
        <v>70</v>
      </c>
      <c r="AI17" s="4">
        <v>90</v>
      </c>
      <c r="AJ17" s="4">
        <v>119</v>
      </c>
      <c r="AK17" s="4">
        <v>118</v>
      </c>
      <c r="AL17" s="4"/>
      <c r="AM17" s="4">
        <v>4</v>
      </c>
      <c r="AN17" s="4">
        <v>1</v>
      </c>
      <c r="AO17" s="4"/>
      <c r="AP17" s="4"/>
      <c r="AQ17" s="4"/>
      <c r="AR17" s="4"/>
      <c r="AS17" s="4"/>
      <c r="AT17" s="4"/>
      <c r="AU17" s="4"/>
      <c r="AV17" s="4"/>
      <c r="AW17" s="4"/>
      <c r="AX17" s="4">
        <v>3</v>
      </c>
      <c r="AY17" s="4">
        <v>12</v>
      </c>
      <c r="AZ17" s="4">
        <v>21</v>
      </c>
      <c r="BA17" s="4">
        <v>8.9</v>
      </c>
      <c r="BB17" s="4">
        <v>2</v>
      </c>
      <c r="BC17" s="4">
        <v>1</v>
      </c>
      <c r="BD17" s="4">
        <v>0.64</v>
      </c>
      <c r="BE17" s="4">
        <v>4.8</v>
      </c>
      <c r="BF17" s="4">
        <v>0</v>
      </c>
      <c r="BG17" s="4">
        <v>1</v>
      </c>
      <c r="BH17" s="4">
        <v>0</v>
      </c>
      <c r="BI17" s="4">
        <v>0</v>
      </c>
      <c r="BJ17" s="4">
        <v>1</v>
      </c>
      <c r="BK17" s="4">
        <v>1</v>
      </c>
      <c r="BL17" s="4">
        <v>0</v>
      </c>
      <c r="BM17" s="4" t="s">
        <v>113</v>
      </c>
      <c r="BN17" s="4">
        <v>0</v>
      </c>
      <c r="BO17" s="4">
        <v>23</v>
      </c>
      <c r="BP17" s="4">
        <v>96</v>
      </c>
      <c r="BQ17" s="4">
        <v>36</v>
      </c>
      <c r="BR17" s="4" t="s">
        <v>114</v>
      </c>
      <c r="BS17" s="4">
        <v>1</v>
      </c>
      <c r="BT17" s="4">
        <v>8.27</v>
      </c>
      <c r="BU17" s="4">
        <v>1</v>
      </c>
      <c r="BV17" s="4" t="s">
        <v>81</v>
      </c>
      <c r="BW17" s="5" t="s">
        <v>81</v>
      </c>
      <c r="BX17" s="4" t="s">
        <v>81</v>
      </c>
      <c r="BY17" s="4" t="s">
        <v>81</v>
      </c>
      <c r="BZ17" s="4" t="s">
        <v>81</v>
      </c>
      <c r="CA17" s="4" t="s">
        <v>81</v>
      </c>
      <c r="CB17" s="4" t="s">
        <v>81</v>
      </c>
      <c r="CC17" s="4">
        <v>75</v>
      </c>
      <c r="CD17" s="4">
        <v>70.56</v>
      </c>
    </row>
    <row r="18" spans="1:82" x14ac:dyDescent="0.25">
      <c r="A18" s="4">
        <v>17</v>
      </c>
      <c r="B18" s="4" t="s">
        <v>98</v>
      </c>
      <c r="C18" s="4" t="s">
        <v>115</v>
      </c>
      <c r="D18" s="4" t="s">
        <v>737</v>
      </c>
      <c r="E18" s="5" t="s">
        <v>725</v>
      </c>
      <c r="F18" s="5" t="s">
        <v>730</v>
      </c>
      <c r="G18" s="4" t="s">
        <v>100</v>
      </c>
      <c r="H18" s="5">
        <v>58</v>
      </c>
      <c r="I18" s="5" t="s">
        <v>80</v>
      </c>
      <c r="J18" s="6">
        <v>19405</v>
      </c>
      <c r="K18" s="6">
        <v>40929</v>
      </c>
      <c r="L18" s="6">
        <v>40931</v>
      </c>
      <c r="M18" s="6">
        <v>40929</v>
      </c>
      <c r="N18" s="4">
        <v>22.5</v>
      </c>
      <c r="O18" s="4">
        <v>113</v>
      </c>
      <c r="P18" s="4">
        <v>16300</v>
      </c>
      <c r="Q18" s="4">
        <v>226</v>
      </c>
      <c r="R18" s="4">
        <v>117</v>
      </c>
      <c r="S18" s="4">
        <v>14</v>
      </c>
      <c r="T18" s="4">
        <v>174</v>
      </c>
      <c r="U18" s="4">
        <v>638</v>
      </c>
      <c r="V18" s="41">
        <v>11.2</v>
      </c>
      <c r="W18" s="4"/>
      <c r="X18" s="4">
        <v>21.8</v>
      </c>
      <c r="Y18" s="4">
        <v>1.79</v>
      </c>
      <c r="Z18" s="4"/>
      <c r="AA18" s="4">
        <v>23</v>
      </c>
      <c r="AB18" s="4">
        <v>0.5</v>
      </c>
      <c r="AC18" s="4">
        <v>139</v>
      </c>
      <c r="AD18" s="4"/>
      <c r="AE18" s="4"/>
      <c r="AF18" s="4"/>
      <c r="AG18" s="4">
        <v>159</v>
      </c>
      <c r="AH18" s="4">
        <v>94</v>
      </c>
      <c r="AI18" s="4">
        <v>105</v>
      </c>
      <c r="AJ18" s="4">
        <v>140</v>
      </c>
      <c r="AK18" s="4">
        <v>202</v>
      </c>
      <c r="AL18" s="4"/>
      <c r="AM18" s="4">
        <v>4</v>
      </c>
      <c r="AN18" s="4">
        <v>1</v>
      </c>
      <c r="AO18" s="4"/>
      <c r="AP18" s="4"/>
      <c r="AQ18" s="4"/>
      <c r="AR18" s="4"/>
      <c r="AS18" s="4"/>
      <c r="AT18" s="4"/>
      <c r="AU18" s="4"/>
      <c r="AV18" s="4"/>
      <c r="AW18" s="4"/>
      <c r="AX18" s="4">
        <v>3</v>
      </c>
      <c r="AY18" s="4">
        <v>11</v>
      </c>
      <c r="AZ18" s="4">
        <v>22</v>
      </c>
      <c r="BA18" s="4">
        <v>7.9</v>
      </c>
      <c r="BB18" s="4">
        <v>2</v>
      </c>
      <c r="BC18" s="4">
        <v>1</v>
      </c>
      <c r="BD18" s="4">
        <v>0.6</v>
      </c>
      <c r="BE18" s="4">
        <v>13.9</v>
      </c>
      <c r="BF18" s="4">
        <v>0</v>
      </c>
      <c r="BG18" s="4">
        <v>0</v>
      </c>
      <c r="BH18" s="4">
        <v>0</v>
      </c>
      <c r="BI18" s="4">
        <v>0</v>
      </c>
      <c r="BJ18" s="4">
        <v>1</v>
      </c>
      <c r="BK18" s="4">
        <v>0</v>
      </c>
      <c r="BL18" s="4">
        <v>0</v>
      </c>
      <c r="BM18" s="4" t="s">
        <v>81</v>
      </c>
      <c r="BN18" s="4">
        <v>0</v>
      </c>
      <c r="BO18" s="4">
        <v>20</v>
      </c>
      <c r="BP18" s="4">
        <v>90</v>
      </c>
      <c r="BQ18" s="4">
        <v>362</v>
      </c>
      <c r="BR18" s="4" t="s">
        <v>116</v>
      </c>
      <c r="BS18" s="4">
        <v>1</v>
      </c>
      <c r="BT18" s="4">
        <v>6.31</v>
      </c>
      <c r="BU18" s="4">
        <v>1</v>
      </c>
      <c r="BV18" s="4" t="s">
        <v>81</v>
      </c>
      <c r="BW18" s="5" t="s">
        <v>81</v>
      </c>
      <c r="BX18" s="4" t="s">
        <v>81</v>
      </c>
      <c r="BY18" s="4" t="s">
        <v>81</v>
      </c>
      <c r="BZ18" s="4" t="s">
        <v>81</v>
      </c>
      <c r="CA18" s="4" t="s">
        <v>81</v>
      </c>
      <c r="CB18" s="4" t="s">
        <v>81</v>
      </c>
      <c r="CC18" s="4">
        <v>90</v>
      </c>
      <c r="CD18" s="4">
        <v>97.48</v>
      </c>
    </row>
    <row r="19" spans="1:82" x14ac:dyDescent="0.25">
      <c r="A19" s="4">
        <v>18</v>
      </c>
      <c r="B19" s="4" t="s">
        <v>98</v>
      </c>
      <c r="C19" s="4" t="s">
        <v>117</v>
      </c>
      <c r="D19" s="4" t="s">
        <v>737</v>
      </c>
      <c r="E19" s="5" t="s">
        <v>725</v>
      </c>
      <c r="F19" s="5" t="s">
        <v>730</v>
      </c>
      <c r="G19" s="4" t="s">
        <v>100</v>
      </c>
      <c r="H19" s="5">
        <v>58</v>
      </c>
      <c r="I19" s="5" t="s">
        <v>80</v>
      </c>
      <c r="J19" s="6">
        <v>19458</v>
      </c>
      <c r="K19" s="6">
        <v>40947</v>
      </c>
      <c r="L19" s="6">
        <v>40949</v>
      </c>
      <c r="M19" s="6">
        <v>40947</v>
      </c>
      <c r="N19" s="4" t="s">
        <v>81</v>
      </c>
      <c r="O19" s="4">
        <v>142</v>
      </c>
      <c r="P19" s="4">
        <v>10000</v>
      </c>
      <c r="Q19" s="4">
        <v>119</v>
      </c>
      <c r="R19" s="4">
        <v>230</v>
      </c>
      <c r="S19" s="4">
        <v>2</v>
      </c>
      <c r="T19" s="4">
        <v>475</v>
      </c>
      <c r="U19" s="4">
        <v>376</v>
      </c>
      <c r="V19" s="41">
        <v>31.5</v>
      </c>
      <c r="W19" s="4"/>
      <c r="X19" s="4">
        <v>22.1</v>
      </c>
      <c r="Y19" s="4">
        <v>1.82</v>
      </c>
      <c r="Z19" s="4"/>
      <c r="AA19" s="4">
        <v>23</v>
      </c>
      <c r="AB19" s="4">
        <v>1.39</v>
      </c>
      <c r="AC19" s="4">
        <v>130</v>
      </c>
      <c r="AD19" s="4"/>
      <c r="AE19" s="4"/>
      <c r="AF19" s="4"/>
      <c r="AG19" s="4">
        <v>135</v>
      </c>
      <c r="AH19" s="4">
        <v>80</v>
      </c>
      <c r="AI19" s="4">
        <v>106</v>
      </c>
      <c r="AJ19" s="4">
        <v>86</v>
      </c>
      <c r="AK19" s="4">
        <v>136</v>
      </c>
      <c r="AL19" s="4"/>
      <c r="AM19" s="4">
        <v>4</v>
      </c>
      <c r="AN19" s="4">
        <v>1</v>
      </c>
      <c r="AO19" s="4"/>
      <c r="AP19" s="4"/>
      <c r="AQ19" s="4"/>
      <c r="AR19" s="4"/>
      <c r="AS19" s="4"/>
      <c r="AT19" s="4"/>
      <c r="AU19" s="4"/>
      <c r="AV19" s="4"/>
      <c r="AW19" s="4"/>
      <c r="AX19" s="4">
        <v>3</v>
      </c>
      <c r="AY19" s="4">
        <v>11</v>
      </c>
      <c r="AZ19" s="4">
        <v>29</v>
      </c>
      <c r="BA19" s="4">
        <v>10.9</v>
      </c>
      <c r="BB19" s="4">
        <v>3</v>
      </c>
      <c r="BC19" s="4">
        <v>1</v>
      </c>
      <c r="BD19" s="4">
        <v>0.88</v>
      </c>
      <c r="BE19" s="4">
        <v>25.8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1</v>
      </c>
      <c r="BL19" s="4">
        <v>0</v>
      </c>
      <c r="BM19" s="4" t="s">
        <v>81</v>
      </c>
      <c r="BN19" s="4">
        <v>0</v>
      </c>
      <c r="BO19" s="4" t="s">
        <v>81</v>
      </c>
      <c r="BP19" s="4">
        <v>70</v>
      </c>
      <c r="BQ19" s="4">
        <v>357</v>
      </c>
      <c r="BR19" s="4" t="s">
        <v>81</v>
      </c>
      <c r="BS19" s="4">
        <v>1</v>
      </c>
      <c r="BT19" s="4">
        <v>2.63</v>
      </c>
      <c r="BU19" s="4">
        <v>1</v>
      </c>
      <c r="BV19" s="4" t="s">
        <v>81</v>
      </c>
      <c r="BW19" s="5" t="s">
        <v>81</v>
      </c>
      <c r="BX19" s="4" t="s">
        <v>81</v>
      </c>
      <c r="BY19" s="4" t="s">
        <v>81</v>
      </c>
      <c r="BZ19" s="4" t="s">
        <v>81</v>
      </c>
      <c r="CA19" s="4" t="s">
        <v>81</v>
      </c>
      <c r="CB19" s="4" t="s">
        <v>81</v>
      </c>
      <c r="CC19" s="4">
        <v>90</v>
      </c>
      <c r="CD19" s="4">
        <v>119.16</v>
      </c>
    </row>
    <row r="20" spans="1:82" x14ac:dyDescent="0.25">
      <c r="A20" s="4">
        <v>19</v>
      </c>
      <c r="B20" s="4" t="s">
        <v>118</v>
      </c>
      <c r="C20" s="4" t="s">
        <v>119</v>
      </c>
      <c r="D20" s="4" t="s">
        <v>738</v>
      </c>
      <c r="E20" s="5" t="s">
        <v>732</v>
      </c>
      <c r="F20" s="5" t="s">
        <v>732</v>
      </c>
      <c r="G20" s="4" t="s">
        <v>120</v>
      </c>
      <c r="H20" s="5">
        <v>46</v>
      </c>
      <c r="I20" s="5" t="s">
        <v>85</v>
      </c>
      <c r="J20" s="6">
        <v>23378</v>
      </c>
      <c r="K20" s="6">
        <v>40260</v>
      </c>
      <c r="L20" s="6">
        <v>40264</v>
      </c>
      <c r="M20" s="6">
        <v>40261</v>
      </c>
      <c r="N20" s="4">
        <v>19</v>
      </c>
      <c r="O20" s="4">
        <v>97</v>
      </c>
      <c r="P20" s="4">
        <v>5400</v>
      </c>
      <c r="Q20" s="4">
        <v>210</v>
      </c>
      <c r="R20" s="4">
        <v>276</v>
      </c>
      <c r="S20" s="4">
        <v>69</v>
      </c>
      <c r="T20" s="4">
        <v>1330</v>
      </c>
      <c r="U20" s="4">
        <v>683</v>
      </c>
      <c r="V20" s="41">
        <v>2.7</v>
      </c>
      <c r="W20" s="4"/>
      <c r="X20" s="4">
        <v>13.3</v>
      </c>
      <c r="Y20" s="4">
        <v>1.18</v>
      </c>
      <c r="Z20" s="4"/>
      <c r="AA20" s="4">
        <v>24</v>
      </c>
      <c r="AB20" s="4">
        <v>0.6</v>
      </c>
      <c r="AC20" s="4">
        <v>133</v>
      </c>
      <c r="AD20" s="4"/>
      <c r="AE20" s="4"/>
      <c r="AF20" s="4"/>
      <c r="AG20" s="4">
        <v>95</v>
      </c>
      <c r="AH20" s="4">
        <v>65</v>
      </c>
      <c r="AI20" s="4">
        <v>91</v>
      </c>
      <c r="AJ20" s="4">
        <v>125</v>
      </c>
      <c r="AK20" s="4">
        <v>93</v>
      </c>
      <c r="AL20" s="4"/>
      <c r="AM20" s="4">
        <v>3</v>
      </c>
      <c r="AN20" s="4">
        <v>0</v>
      </c>
      <c r="AO20" s="4"/>
      <c r="AP20" s="4"/>
      <c r="AQ20" s="4"/>
      <c r="AR20" s="4"/>
      <c r="AS20" s="4"/>
      <c r="AT20" s="4"/>
      <c r="AU20" s="4"/>
      <c r="AV20" s="4"/>
      <c r="AW20" s="4"/>
      <c r="AX20" s="4">
        <v>2</v>
      </c>
      <c r="AY20" s="4">
        <v>9</v>
      </c>
      <c r="AZ20" s="4">
        <v>12</v>
      </c>
      <c r="BA20" s="4">
        <v>5.94</v>
      </c>
      <c r="BB20" s="4">
        <v>1</v>
      </c>
      <c r="BC20" s="4">
        <v>1</v>
      </c>
      <c r="BD20" s="4">
        <v>0.11</v>
      </c>
      <c r="BE20" s="4">
        <v>1.1000000000000001</v>
      </c>
      <c r="BF20" s="4">
        <v>1</v>
      </c>
      <c r="BG20" s="4">
        <v>0</v>
      </c>
      <c r="BH20" s="4">
        <v>0</v>
      </c>
      <c r="BI20" s="4">
        <v>0</v>
      </c>
      <c r="BJ20" s="4">
        <v>1</v>
      </c>
      <c r="BK20" s="4">
        <v>0</v>
      </c>
      <c r="BL20" s="4">
        <v>0</v>
      </c>
      <c r="BM20" s="4" t="s">
        <v>81</v>
      </c>
      <c r="BN20" s="4">
        <v>0</v>
      </c>
      <c r="BO20" s="4">
        <v>0</v>
      </c>
      <c r="BP20" s="4">
        <v>76</v>
      </c>
      <c r="BQ20" s="4">
        <v>0</v>
      </c>
      <c r="BR20" s="4" t="s">
        <v>81</v>
      </c>
      <c r="BS20" s="4">
        <v>0</v>
      </c>
      <c r="BT20" s="4" t="s">
        <v>81</v>
      </c>
      <c r="BU20" s="4">
        <v>0</v>
      </c>
      <c r="BV20" s="4">
        <v>63.88</v>
      </c>
      <c r="BW20" s="5">
        <v>3</v>
      </c>
      <c r="BX20" s="4">
        <v>0</v>
      </c>
      <c r="BY20" s="4">
        <v>1</v>
      </c>
      <c r="BZ20" s="4">
        <v>0</v>
      </c>
      <c r="CA20" s="4">
        <v>4</v>
      </c>
      <c r="CB20" s="4">
        <v>2</v>
      </c>
      <c r="CC20" s="4">
        <v>90</v>
      </c>
      <c r="CD20" s="4">
        <v>49.88</v>
      </c>
    </row>
    <row r="21" spans="1:82" x14ac:dyDescent="0.25">
      <c r="A21" s="4">
        <v>20</v>
      </c>
      <c r="B21" s="4" t="s">
        <v>118</v>
      </c>
      <c r="C21" s="4" t="s">
        <v>121</v>
      </c>
      <c r="D21" s="4" t="s">
        <v>738</v>
      </c>
      <c r="E21" s="5" t="s">
        <v>732</v>
      </c>
      <c r="F21" s="5" t="s">
        <v>732</v>
      </c>
      <c r="G21" s="4" t="s">
        <v>120</v>
      </c>
      <c r="H21" s="5">
        <v>46</v>
      </c>
      <c r="I21" s="5" t="s">
        <v>80</v>
      </c>
      <c r="J21" s="6">
        <v>23532</v>
      </c>
      <c r="K21" s="6">
        <v>40314</v>
      </c>
      <c r="L21" s="6">
        <v>40331</v>
      </c>
      <c r="M21" s="6">
        <v>40314</v>
      </c>
      <c r="N21" s="4">
        <v>9</v>
      </c>
      <c r="O21" s="4">
        <v>37</v>
      </c>
      <c r="P21" s="4">
        <v>3900</v>
      </c>
      <c r="Q21" s="4">
        <v>90</v>
      </c>
      <c r="R21" s="4">
        <v>26</v>
      </c>
      <c r="S21" s="4">
        <v>8</v>
      </c>
      <c r="T21" s="4">
        <v>171</v>
      </c>
      <c r="U21" s="4">
        <v>138</v>
      </c>
      <c r="V21" s="41">
        <v>1.7</v>
      </c>
      <c r="W21" s="4"/>
      <c r="X21" s="4">
        <v>13.3</v>
      </c>
      <c r="Y21" s="4">
        <v>1.25</v>
      </c>
      <c r="Z21" s="4"/>
      <c r="AA21" s="4">
        <v>29</v>
      </c>
      <c r="AB21" s="4">
        <v>0.9</v>
      </c>
      <c r="AC21" s="4">
        <v>133</v>
      </c>
      <c r="AD21" s="4"/>
      <c r="AE21" s="4"/>
      <c r="AF21" s="4"/>
      <c r="AG21" s="4">
        <v>122</v>
      </c>
      <c r="AH21" s="4">
        <v>79</v>
      </c>
      <c r="AI21" s="4">
        <v>131</v>
      </c>
      <c r="AJ21" s="4">
        <v>72</v>
      </c>
      <c r="AK21" s="4">
        <v>96</v>
      </c>
      <c r="AL21" s="4"/>
      <c r="AM21" s="4">
        <v>3</v>
      </c>
      <c r="AN21" s="4">
        <v>0</v>
      </c>
      <c r="AO21" s="4"/>
      <c r="AP21" s="4"/>
      <c r="AQ21" s="4"/>
      <c r="AR21" s="4"/>
      <c r="AS21" s="4"/>
      <c r="AT21" s="4"/>
      <c r="AU21" s="4"/>
      <c r="AV21" s="4"/>
      <c r="AW21" s="4"/>
      <c r="AX21" s="4">
        <v>1</v>
      </c>
      <c r="AY21" s="4">
        <v>6</v>
      </c>
      <c r="AZ21" s="4">
        <v>11</v>
      </c>
      <c r="BA21" s="4">
        <v>5.09</v>
      </c>
      <c r="BB21" s="4">
        <v>1</v>
      </c>
      <c r="BC21" s="4">
        <v>0</v>
      </c>
      <c r="BD21" s="4" t="s">
        <v>81</v>
      </c>
      <c r="BE21" s="4">
        <v>1</v>
      </c>
      <c r="BF21" s="4" t="s">
        <v>81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 t="s">
        <v>81</v>
      </c>
      <c r="BN21" s="4">
        <v>0</v>
      </c>
      <c r="BO21" s="4" t="s">
        <v>81</v>
      </c>
      <c r="BP21" s="4">
        <v>105</v>
      </c>
      <c r="BQ21" s="4">
        <v>36.299999999999997</v>
      </c>
      <c r="BR21" s="4" t="s">
        <v>81</v>
      </c>
      <c r="BS21" s="4">
        <v>0</v>
      </c>
      <c r="BT21" s="4" t="s">
        <v>81</v>
      </c>
      <c r="BU21" s="4">
        <v>1</v>
      </c>
      <c r="BV21" s="4">
        <v>62.88</v>
      </c>
      <c r="BW21" s="5">
        <v>2</v>
      </c>
      <c r="BX21" s="4">
        <v>0</v>
      </c>
      <c r="BY21" s="4">
        <v>1</v>
      </c>
      <c r="BZ21" s="4">
        <v>0</v>
      </c>
      <c r="CA21" s="4">
        <v>3</v>
      </c>
      <c r="CB21" s="4">
        <v>2</v>
      </c>
      <c r="CC21" s="4">
        <v>90</v>
      </c>
      <c r="CD21" s="4">
        <v>48.88</v>
      </c>
    </row>
    <row r="22" spans="1:82" x14ac:dyDescent="0.25">
      <c r="A22" s="4">
        <v>21</v>
      </c>
      <c r="B22" s="4" t="s">
        <v>118</v>
      </c>
      <c r="C22" s="4" t="s">
        <v>122</v>
      </c>
      <c r="D22" s="4" t="s">
        <v>738</v>
      </c>
      <c r="E22" s="5" t="s">
        <v>732</v>
      </c>
      <c r="F22" s="5" t="s">
        <v>732</v>
      </c>
      <c r="G22" s="4" t="s">
        <v>120</v>
      </c>
      <c r="H22" s="5">
        <v>52</v>
      </c>
      <c r="I22" s="5" t="s">
        <v>80</v>
      </c>
      <c r="J22" s="6">
        <v>21046</v>
      </c>
      <c r="K22" s="6">
        <v>40231</v>
      </c>
      <c r="L22" s="6">
        <v>40234</v>
      </c>
      <c r="M22" s="6">
        <v>40231</v>
      </c>
      <c r="N22" s="4">
        <v>19.5</v>
      </c>
      <c r="O22" s="4">
        <v>118</v>
      </c>
      <c r="P22" s="4">
        <v>4100</v>
      </c>
      <c r="Q22" s="4">
        <v>118</v>
      </c>
      <c r="R22" s="4">
        <v>104</v>
      </c>
      <c r="S22" s="4">
        <v>36</v>
      </c>
      <c r="T22" s="4">
        <v>475</v>
      </c>
      <c r="U22" s="4">
        <v>273</v>
      </c>
      <c r="V22" s="41">
        <v>0.9</v>
      </c>
      <c r="W22" s="4"/>
      <c r="X22" s="4">
        <v>13.7</v>
      </c>
      <c r="Y22" s="4">
        <v>1.42</v>
      </c>
      <c r="Z22" s="4"/>
      <c r="AA22" s="4">
        <v>32</v>
      </c>
      <c r="AB22" s="4">
        <v>0.9</v>
      </c>
      <c r="AC22" s="4">
        <v>137</v>
      </c>
      <c r="AD22" s="4"/>
      <c r="AE22" s="4"/>
      <c r="AF22" s="4"/>
      <c r="AG22" s="4">
        <v>176</v>
      </c>
      <c r="AH22" s="4">
        <v>80</v>
      </c>
      <c r="AI22" s="4">
        <v>260</v>
      </c>
      <c r="AJ22" s="4">
        <v>138</v>
      </c>
      <c r="AK22" s="4">
        <v>98</v>
      </c>
      <c r="AL22" s="4"/>
      <c r="AM22" s="4">
        <v>4</v>
      </c>
      <c r="AN22" s="4">
        <v>1</v>
      </c>
      <c r="AO22" s="4"/>
      <c r="AP22" s="4"/>
      <c r="AQ22" s="4"/>
      <c r="AR22" s="4"/>
      <c r="AS22" s="4"/>
      <c r="AT22" s="4"/>
      <c r="AU22" s="4"/>
      <c r="AV22" s="4"/>
      <c r="AW22" s="4"/>
      <c r="AX22" s="4">
        <v>2</v>
      </c>
      <c r="AY22" s="4">
        <v>7</v>
      </c>
      <c r="AZ22" s="4">
        <v>10</v>
      </c>
      <c r="BA22" s="4">
        <v>6.68</v>
      </c>
      <c r="BB22" s="4">
        <v>1</v>
      </c>
      <c r="BC22" s="4">
        <v>0</v>
      </c>
      <c r="BD22" s="4" t="s">
        <v>81</v>
      </c>
      <c r="BE22" s="4">
        <v>1.6</v>
      </c>
      <c r="BF22" s="4" t="s">
        <v>81</v>
      </c>
      <c r="BG22" s="4">
        <v>0</v>
      </c>
      <c r="BH22" s="4">
        <v>0</v>
      </c>
      <c r="BI22" s="4">
        <v>1</v>
      </c>
      <c r="BJ22" s="4">
        <v>1</v>
      </c>
      <c r="BK22" s="4">
        <v>0</v>
      </c>
      <c r="BL22" s="4">
        <v>0</v>
      </c>
      <c r="BM22" s="4" t="s">
        <v>81</v>
      </c>
      <c r="BN22" s="4">
        <v>0</v>
      </c>
      <c r="BO22" s="4">
        <v>24</v>
      </c>
      <c r="BP22" s="4">
        <v>97</v>
      </c>
      <c r="BQ22" s="4">
        <v>36.200000000000003</v>
      </c>
      <c r="BR22" s="4" t="s">
        <v>81</v>
      </c>
      <c r="BS22" s="4">
        <v>0</v>
      </c>
      <c r="BT22" s="4" t="s">
        <v>81</v>
      </c>
      <c r="BU22" s="4">
        <v>0</v>
      </c>
      <c r="BV22" s="4">
        <v>63.92</v>
      </c>
      <c r="BW22" s="5">
        <v>3</v>
      </c>
      <c r="BX22" s="4">
        <v>0</v>
      </c>
      <c r="BY22" s="4">
        <v>1</v>
      </c>
      <c r="BZ22" s="4">
        <v>-1</v>
      </c>
      <c r="CA22" s="4">
        <v>3</v>
      </c>
      <c r="CB22" s="4">
        <v>2</v>
      </c>
      <c r="CC22" s="4">
        <v>90</v>
      </c>
      <c r="CD22" s="4">
        <v>49.92</v>
      </c>
    </row>
    <row r="23" spans="1:82" x14ac:dyDescent="0.25">
      <c r="A23" s="4">
        <v>22</v>
      </c>
      <c r="B23" s="4" t="s">
        <v>118</v>
      </c>
      <c r="C23" s="4" t="s">
        <v>123</v>
      </c>
      <c r="D23" s="4" t="s">
        <v>738</v>
      </c>
      <c r="E23" s="5" t="s">
        <v>732</v>
      </c>
      <c r="F23" s="5" t="s">
        <v>732</v>
      </c>
      <c r="G23" s="4" t="s">
        <v>120</v>
      </c>
      <c r="H23" s="5">
        <v>41</v>
      </c>
      <c r="I23" s="5" t="s">
        <v>80</v>
      </c>
      <c r="J23" s="6">
        <v>25240</v>
      </c>
      <c r="K23" s="6">
        <v>40428</v>
      </c>
      <c r="L23" s="6">
        <v>40430</v>
      </c>
      <c r="M23" s="6">
        <v>40428</v>
      </c>
      <c r="N23" s="4">
        <v>23</v>
      </c>
      <c r="O23" s="4">
        <v>91</v>
      </c>
      <c r="P23" s="4">
        <v>20800</v>
      </c>
      <c r="Q23" s="4">
        <v>209</v>
      </c>
      <c r="R23" s="4">
        <v>65</v>
      </c>
      <c r="S23" s="4">
        <v>20</v>
      </c>
      <c r="T23" s="4">
        <v>756</v>
      </c>
      <c r="U23" s="4">
        <v>858</v>
      </c>
      <c r="V23" s="41">
        <v>2.6</v>
      </c>
      <c r="W23" s="4"/>
      <c r="X23" s="4">
        <v>13.5</v>
      </c>
      <c r="Y23" s="4">
        <v>1.44</v>
      </c>
      <c r="Z23" s="4"/>
      <c r="AA23" s="4">
        <v>23</v>
      </c>
      <c r="AB23" s="4">
        <v>0.7</v>
      </c>
      <c r="AC23" s="4">
        <v>135</v>
      </c>
      <c r="AD23" s="4"/>
      <c r="AE23" s="4"/>
      <c r="AF23" s="4"/>
      <c r="AG23" s="4">
        <v>116</v>
      </c>
      <c r="AH23" s="4">
        <v>74</v>
      </c>
      <c r="AI23" s="4">
        <v>114</v>
      </c>
      <c r="AJ23" s="4">
        <v>96</v>
      </c>
      <c r="AK23" s="4">
        <v>75</v>
      </c>
      <c r="AL23" s="4"/>
      <c r="AM23" s="4">
        <v>4</v>
      </c>
      <c r="AN23" s="4">
        <v>1</v>
      </c>
      <c r="AO23" s="4"/>
      <c r="AP23" s="4"/>
      <c r="AQ23" s="4"/>
      <c r="AR23" s="4"/>
      <c r="AS23" s="4"/>
      <c r="AT23" s="4"/>
      <c r="AU23" s="4"/>
      <c r="AV23" s="4"/>
      <c r="AW23" s="4"/>
      <c r="AX23" s="4">
        <v>2</v>
      </c>
      <c r="AY23" s="4">
        <v>9</v>
      </c>
      <c r="AZ23" s="4">
        <v>14</v>
      </c>
      <c r="BA23" s="4">
        <v>6</v>
      </c>
      <c r="BB23" s="4">
        <v>1</v>
      </c>
      <c r="BC23" s="4">
        <v>0</v>
      </c>
      <c r="BD23" s="4" t="s">
        <v>81</v>
      </c>
      <c r="BE23" s="4">
        <v>1.8</v>
      </c>
      <c r="BF23" s="4" t="s">
        <v>81</v>
      </c>
      <c r="BG23" s="4">
        <v>0</v>
      </c>
      <c r="BH23" s="4">
        <v>0</v>
      </c>
      <c r="BI23" s="4">
        <v>0</v>
      </c>
      <c r="BJ23" s="4">
        <v>1</v>
      </c>
      <c r="BK23" s="4">
        <v>0</v>
      </c>
      <c r="BL23" s="4">
        <v>1</v>
      </c>
      <c r="BM23" s="4" t="s">
        <v>82</v>
      </c>
      <c r="BN23" s="4">
        <v>0</v>
      </c>
      <c r="BO23" s="4">
        <v>18</v>
      </c>
      <c r="BP23" s="4">
        <v>110</v>
      </c>
      <c r="BQ23" s="4">
        <v>36.700000000000003</v>
      </c>
      <c r="BR23" s="4" t="s">
        <v>124</v>
      </c>
      <c r="BS23" s="4">
        <v>0</v>
      </c>
      <c r="BT23" s="4" t="s">
        <v>81</v>
      </c>
      <c r="BU23" s="4">
        <v>0</v>
      </c>
      <c r="BV23" s="4">
        <v>64.7</v>
      </c>
      <c r="BW23" s="5">
        <v>1</v>
      </c>
      <c r="BX23" s="4">
        <v>-1</v>
      </c>
      <c r="BY23" s="4">
        <v>1</v>
      </c>
      <c r="BZ23" s="4">
        <v>0</v>
      </c>
      <c r="CA23" s="4">
        <v>1</v>
      </c>
      <c r="CB23" s="4">
        <v>1</v>
      </c>
      <c r="CC23" s="4">
        <v>90</v>
      </c>
      <c r="CD23" s="4">
        <v>50.7</v>
      </c>
    </row>
    <row r="24" spans="1:82" x14ac:dyDescent="0.25">
      <c r="A24" s="4">
        <v>23</v>
      </c>
      <c r="B24" s="4" t="s">
        <v>118</v>
      </c>
      <c r="C24" s="4" t="s">
        <v>125</v>
      </c>
      <c r="D24" s="4" t="s">
        <v>738</v>
      </c>
      <c r="E24" s="5" t="s">
        <v>732</v>
      </c>
      <c r="F24" s="5" t="s">
        <v>732</v>
      </c>
      <c r="G24" s="4" t="s">
        <v>120</v>
      </c>
      <c r="H24" s="5">
        <v>44</v>
      </c>
      <c r="I24" s="5" t="s">
        <v>80</v>
      </c>
      <c r="J24" s="6">
        <v>24343</v>
      </c>
      <c r="K24" s="6">
        <v>40438</v>
      </c>
      <c r="L24" s="6">
        <v>40441</v>
      </c>
      <c r="M24" s="6">
        <v>40438</v>
      </c>
      <c r="N24" s="4">
        <v>19</v>
      </c>
      <c r="O24" s="4">
        <v>113</v>
      </c>
      <c r="P24" s="4">
        <v>6300</v>
      </c>
      <c r="Q24" s="4">
        <v>57</v>
      </c>
      <c r="R24" s="4">
        <v>117</v>
      </c>
      <c r="S24" s="4">
        <v>31</v>
      </c>
      <c r="T24" s="4">
        <v>709</v>
      </c>
      <c r="U24" s="4">
        <v>226</v>
      </c>
      <c r="V24" s="41">
        <v>1.4</v>
      </c>
      <c r="W24" s="4"/>
      <c r="X24" s="4">
        <v>13.5</v>
      </c>
      <c r="Y24" s="4">
        <v>1.45</v>
      </c>
      <c r="Z24" s="4"/>
      <c r="AA24" s="4">
        <v>29</v>
      </c>
      <c r="AB24" s="4">
        <v>0.5</v>
      </c>
      <c r="AC24" s="4">
        <v>135</v>
      </c>
      <c r="AD24" s="4"/>
      <c r="AE24" s="4"/>
      <c r="AF24" s="4"/>
      <c r="AG24" s="4">
        <v>136</v>
      </c>
      <c r="AH24" s="4">
        <v>87</v>
      </c>
      <c r="AI24" s="4">
        <v>99</v>
      </c>
      <c r="AJ24" s="4">
        <v>84</v>
      </c>
      <c r="AK24" s="4">
        <v>83</v>
      </c>
      <c r="AL24" s="4"/>
      <c r="AM24" s="4">
        <v>4</v>
      </c>
      <c r="AN24" s="4">
        <v>1</v>
      </c>
      <c r="AO24" s="4"/>
      <c r="AP24" s="4"/>
      <c r="AQ24" s="4"/>
      <c r="AR24" s="4"/>
      <c r="AS24" s="4"/>
      <c r="AT24" s="4"/>
      <c r="AU24" s="4"/>
      <c r="AV24" s="4"/>
      <c r="AW24" s="4"/>
      <c r="AX24" s="4">
        <v>2</v>
      </c>
      <c r="AY24" s="4">
        <v>7</v>
      </c>
      <c r="AZ24" s="4">
        <v>12</v>
      </c>
      <c r="BA24" s="4">
        <v>6</v>
      </c>
      <c r="BB24" s="4">
        <v>1</v>
      </c>
      <c r="BC24" s="4">
        <v>0</v>
      </c>
      <c r="BD24" s="4" t="s">
        <v>81</v>
      </c>
      <c r="BE24" s="4">
        <v>3.1</v>
      </c>
      <c r="BF24" s="4" t="s">
        <v>81</v>
      </c>
      <c r="BG24" s="4">
        <v>0</v>
      </c>
      <c r="BH24" s="4">
        <v>0</v>
      </c>
      <c r="BI24" s="4">
        <v>0</v>
      </c>
      <c r="BJ24" s="4">
        <v>1</v>
      </c>
      <c r="BK24" s="4">
        <v>0</v>
      </c>
      <c r="BL24" s="4">
        <v>0</v>
      </c>
      <c r="BM24" s="4" t="s">
        <v>81</v>
      </c>
      <c r="BN24" s="4">
        <v>0</v>
      </c>
      <c r="BO24" s="4">
        <v>18</v>
      </c>
      <c r="BP24" s="4">
        <v>98</v>
      </c>
      <c r="BQ24" s="4">
        <v>36.1</v>
      </c>
      <c r="BR24" s="4" t="s">
        <v>126</v>
      </c>
      <c r="BS24" s="4">
        <v>0</v>
      </c>
      <c r="BT24" s="4" t="s">
        <v>81</v>
      </c>
      <c r="BU24" s="4">
        <v>1</v>
      </c>
      <c r="BV24" s="4">
        <v>63.5</v>
      </c>
      <c r="BW24" s="5">
        <v>3</v>
      </c>
      <c r="BX24" s="4">
        <v>0</v>
      </c>
      <c r="BY24" s="4">
        <v>1</v>
      </c>
      <c r="BZ24" s="4">
        <v>0</v>
      </c>
      <c r="CA24" s="4">
        <v>4</v>
      </c>
      <c r="CB24" s="4">
        <v>2</v>
      </c>
      <c r="CC24" s="4">
        <v>90</v>
      </c>
      <c r="CD24" s="4">
        <v>49.5</v>
      </c>
    </row>
    <row r="25" spans="1:82" x14ac:dyDescent="0.25">
      <c r="A25" s="4">
        <v>24</v>
      </c>
      <c r="B25" s="4" t="s">
        <v>118</v>
      </c>
      <c r="C25" s="4" t="s">
        <v>127</v>
      </c>
      <c r="D25" s="4" t="s">
        <v>738</v>
      </c>
      <c r="E25" s="5" t="s">
        <v>732</v>
      </c>
      <c r="F25" s="5" t="s">
        <v>732</v>
      </c>
      <c r="G25" s="4"/>
      <c r="H25" s="5">
        <v>39</v>
      </c>
      <c r="I25" s="5" t="s">
        <v>80</v>
      </c>
      <c r="J25" s="6">
        <v>25911</v>
      </c>
      <c r="K25" s="6">
        <v>40445</v>
      </c>
      <c r="L25" s="6">
        <v>40449</v>
      </c>
      <c r="M25" s="6">
        <v>40448</v>
      </c>
      <c r="N25" s="4">
        <v>6</v>
      </c>
      <c r="O25" s="4">
        <v>131</v>
      </c>
      <c r="P25" s="4">
        <v>13280</v>
      </c>
      <c r="Q25" s="4">
        <v>309</v>
      </c>
      <c r="R25" s="4">
        <v>48</v>
      </c>
      <c r="S25" s="4">
        <v>33</v>
      </c>
      <c r="T25" s="4">
        <v>378</v>
      </c>
      <c r="U25" s="4">
        <v>436</v>
      </c>
      <c r="V25" s="41">
        <v>0.9</v>
      </c>
      <c r="W25" s="4"/>
      <c r="X25" s="4">
        <v>14</v>
      </c>
      <c r="Y25" s="4">
        <v>1.06</v>
      </c>
      <c r="Z25" s="4"/>
      <c r="AA25" s="4">
        <v>32</v>
      </c>
      <c r="AB25" s="4">
        <v>0.85</v>
      </c>
      <c r="AC25" s="4">
        <v>140</v>
      </c>
      <c r="AD25" s="4"/>
      <c r="AE25" s="4"/>
      <c r="AF25" s="4"/>
      <c r="AG25" s="4" t="s">
        <v>81</v>
      </c>
      <c r="AH25" s="4" t="s">
        <v>81</v>
      </c>
      <c r="AI25" s="4">
        <v>67</v>
      </c>
      <c r="AJ25" s="4">
        <v>195</v>
      </c>
      <c r="AK25" s="4">
        <v>114</v>
      </c>
      <c r="AL25" s="4"/>
      <c r="AM25" s="4">
        <v>3</v>
      </c>
      <c r="AN25" s="4">
        <v>0</v>
      </c>
      <c r="AO25" s="4"/>
      <c r="AP25" s="4"/>
      <c r="AQ25" s="4"/>
      <c r="AR25" s="4"/>
      <c r="AS25" s="4"/>
      <c r="AT25" s="4"/>
      <c r="AU25" s="4"/>
      <c r="AV25" s="4"/>
      <c r="AW25" s="4"/>
      <c r="AX25" s="4">
        <v>2</v>
      </c>
      <c r="AY25" s="4">
        <v>6</v>
      </c>
      <c r="AZ25" s="4">
        <v>7</v>
      </c>
      <c r="BA25" s="4">
        <v>5.08</v>
      </c>
      <c r="BB25" s="4">
        <v>1</v>
      </c>
      <c r="BC25" s="4">
        <v>0</v>
      </c>
      <c r="BD25" s="4" t="s">
        <v>81</v>
      </c>
      <c r="BE25" s="4" t="s">
        <v>81</v>
      </c>
      <c r="BF25" s="4" t="s">
        <v>81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 t="s">
        <v>81</v>
      </c>
      <c r="BN25" s="4">
        <v>0</v>
      </c>
      <c r="BO25" s="4" t="s">
        <v>81</v>
      </c>
      <c r="BP25" s="4" t="s">
        <v>81</v>
      </c>
      <c r="BQ25" s="4" t="s">
        <v>81</v>
      </c>
      <c r="BR25" s="4" t="s">
        <v>128</v>
      </c>
      <c r="BS25" s="4">
        <v>0</v>
      </c>
      <c r="BT25" s="4" t="s">
        <v>81</v>
      </c>
      <c r="BU25" s="4">
        <v>0</v>
      </c>
      <c r="BV25" s="4">
        <v>65.3</v>
      </c>
      <c r="BW25" s="5">
        <v>2</v>
      </c>
      <c r="BX25" s="4">
        <v>0</v>
      </c>
      <c r="BY25" s="4">
        <v>3</v>
      </c>
      <c r="BZ25" s="4">
        <v>0</v>
      </c>
      <c r="CA25" s="4">
        <v>5</v>
      </c>
      <c r="CB25" s="4">
        <v>2</v>
      </c>
      <c r="CC25" s="4">
        <v>90</v>
      </c>
      <c r="CD25" s="4">
        <v>51.3</v>
      </c>
    </row>
    <row r="26" spans="1:82" x14ac:dyDescent="0.25">
      <c r="A26" s="4">
        <v>25</v>
      </c>
      <c r="B26" s="4" t="s">
        <v>118</v>
      </c>
      <c r="C26" s="4" t="s">
        <v>129</v>
      </c>
      <c r="D26" s="4" t="s">
        <v>738</v>
      </c>
      <c r="E26" s="5" t="s">
        <v>732</v>
      </c>
      <c r="F26" s="5" t="s">
        <v>732</v>
      </c>
      <c r="G26" s="4" t="s">
        <v>120</v>
      </c>
      <c r="H26" s="5">
        <v>51</v>
      </c>
      <c r="I26" s="5" t="s">
        <v>80</v>
      </c>
      <c r="J26" s="6">
        <v>21684</v>
      </c>
      <c r="K26" s="6">
        <v>40476</v>
      </c>
      <c r="L26" s="6">
        <v>40476</v>
      </c>
      <c r="M26" s="6">
        <v>40485</v>
      </c>
      <c r="N26" s="4">
        <v>6.5</v>
      </c>
      <c r="O26" s="4">
        <v>132</v>
      </c>
      <c r="P26" s="4">
        <v>7200</v>
      </c>
      <c r="Q26" s="4">
        <v>208</v>
      </c>
      <c r="R26" s="4">
        <v>35</v>
      </c>
      <c r="S26" s="4">
        <v>30</v>
      </c>
      <c r="T26" s="4">
        <v>77</v>
      </c>
      <c r="U26" s="4">
        <v>136</v>
      </c>
      <c r="V26" s="41">
        <v>0.7</v>
      </c>
      <c r="W26" s="4"/>
      <c r="X26" s="4">
        <v>14.4</v>
      </c>
      <c r="Y26" s="4">
        <v>0.99</v>
      </c>
      <c r="Z26" s="4"/>
      <c r="AA26" s="4">
        <v>41</v>
      </c>
      <c r="AB26" s="4">
        <v>0.86</v>
      </c>
      <c r="AC26" s="4">
        <v>144</v>
      </c>
      <c r="AD26" s="4"/>
      <c r="AE26" s="4"/>
      <c r="AF26" s="4"/>
      <c r="AG26" s="4" t="s">
        <v>81</v>
      </c>
      <c r="AH26" s="4" t="s">
        <v>81</v>
      </c>
      <c r="AI26" s="4">
        <v>91</v>
      </c>
      <c r="AJ26" s="4">
        <v>193</v>
      </c>
      <c r="AK26" s="4">
        <v>136</v>
      </c>
      <c r="AL26" s="4"/>
      <c r="AM26" s="4">
        <v>4</v>
      </c>
      <c r="AN26" s="4">
        <v>1</v>
      </c>
      <c r="AO26" s="4"/>
      <c r="AP26" s="4"/>
      <c r="AQ26" s="4"/>
      <c r="AR26" s="4"/>
      <c r="AS26" s="4"/>
      <c r="AT26" s="4"/>
      <c r="AU26" s="4"/>
      <c r="AV26" s="4"/>
      <c r="AW26" s="4"/>
      <c r="AX26" s="4">
        <v>1</v>
      </c>
      <c r="AY26" s="4">
        <v>5</v>
      </c>
      <c r="AZ26" s="4">
        <v>6</v>
      </c>
      <c r="BA26" s="4">
        <v>6.21</v>
      </c>
      <c r="BB26" s="4">
        <v>1</v>
      </c>
      <c r="BC26" s="4">
        <v>0</v>
      </c>
      <c r="BD26" s="4" t="s">
        <v>81</v>
      </c>
      <c r="BE26" s="4">
        <v>0.7</v>
      </c>
      <c r="BF26" s="4" t="s">
        <v>81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 t="s">
        <v>81</v>
      </c>
      <c r="BN26" s="4">
        <v>0</v>
      </c>
      <c r="BO26" s="4" t="s">
        <v>81</v>
      </c>
      <c r="BP26" s="4" t="s">
        <v>81</v>
      </c>
      <c r="BQ26" s="4" t="s">
        <v>81</v>
      </c>
      <c r="BR26" s="4" t="s">
        <v>130</v>
      </c>
      <c r="BS26" s="4">
        <v>0</v>
      </c>
      <c r="BT26" s="4" t="s">
        <v>81</v>
      </c>
      <c r="BU26" s="4">
        <v>0</v>
      </c>
      <c r="BV26" s="4">
        <v>66.94</v>
      </c>
      <c r="BW26" s="5">
        <v>3</v>
      </c>
      <c r="BX26" s="4">
        <v>0</v>
      </c>
      <c r="BY26" s="4">
        <v>1</v>
      </c>
      <c r="BZ26" s="4">
        <v>-1</v>
      </c>
      <c r="CA26" s="4">
        <v>3</v>
      </c>
      <c r="CB26" s="4">
        <v>2</v>
      </c>
      <c r="CC26" s="4">
        <v>90</v>
      </c>
      <c r="CD26" s="4">
        <v>52.94</v>
      </c>
    </row>
    <row r="27" spans="1:82" x14ac:dyDescent="0.25">
      <c r="A27" s="4">
        <v>26</v>
      </c>
      <c r="B27" s="4" t="s">
        <v>118</v>
      </c>
      <c r="C27" s="4" t="s">
        <v>131</v>
      </c>
      <c r="D27" s="4" t="s">
        <v>738</v>
      </c>
      <c r="E27" s="5" t="s">
        <v>732</v>
      </c>
      <c r="F27" s="5" t="s">
        <v>732</v>
      </c>
      <c r="G27" s="4" t="s">
        <v>120</v>
      </c>
      <c r="H27" s="5">
        <v>48</v>
      </c>
      <c r="I27" s="5" t="s">
        <v>85</v>
      </c>
      <c r="J27" s="6">
        <v>22906</v>
      </c>
      <c r="K27" s="6">
        <v>40539</v>
      </c>
      <c r="L27" s="6">
        <v>40546</v>
      </c>
      <c r="M27" s="6">
        <v>40539</v>
      </c>
      <c r="N27" s="4">
        <v>15</v>
      </c>
      <c r="O27" s="4">
        <v>148</v>
      </c>
      <c r="P27" s="4">
        <v>6700</v>
      </c>
      <c r="Q27" s="4">
        <v>67</v>
      </c>
      <c r="R27" s="4">
        <v>112</v>
      </c>
      <c r="S27" s="4">
        <v>47</v>
      </c>
      <c r="T27" s="4">
        <v>1075</v>
      </c>
      <c r="U27" s="4">
        <v>393</v>
      </c>
      <c r="V27" s="41">
        <v>4.8</v>
      </c>
      <c r="W27" s="4"/>
      <c r="X27" s="4">
        <v>13.9</v>
      </c>
      <c r="Y27" s="4">
        <v>1.68</v>
      </c>
      <c r="Z27" s="4"/>
      <c r="AA27" s="4">
        <v>37</v>
      </c>
      <c r="AB27" s="4">
        <v>0.5</v>
      </c>
      <c r="AC27" s="4">
        <v>139</v>
      </c>
      <c r="AD27" s="4"/>
      <c r="AE27" s="4"/>
      <c r="AF27" s="4"/>
      <c r="AG27" s="4">
        <v>153</v>
      </c>
      <c r="AH27" s="4">
        <v>90</v>
      </c>
      <c r="AI27" s="4">
        <v>90</v>
      </c>
      <c r="AJ27" s="4">
        <v>231</v>
      </c>
      <c r="AK27" s="4">
        <v>165</v>
      </c>
      <c r="AL27" s="4"/>
      <c r="AM27" s="4">
        <v>4</v>
      </c>
      <c r="AN27" s="4">
        <v>1</v>
      </c>
      <c r="AO27" s="4"/>
      <c r="AP27" s="4"/>
      <c r="AQ27" s="4"/>
      <c r="AR27" s="4"/>
      <c r="AS27" s="4"/>
      <c r="AT27" s="4"/>
      <c r="AU27" s="4"/>
      <c r="AV27" s="4"/>
      <c r="AW27" s="4"/>
      <c r="AX27" s="4">
        <v>2</v>
      </c>
      <c r="AY27" s="4">
        <v>9</v>
      </c>
      <c r="AZ27" s="4">
        <v>18</v>
      </c>
      <c r="BA27" s="4">
        <v>6.68</v>
      </c>
      <c r="BB27" s="4">
        <v>1</v>
      </c>
      <c r="BC27" s="4">
        <v>0</v>
      </c>
      <c r="BD27" s="4" t="s">
        <v>81</v>
      </c>
      <c r="BE27" s="4">
        <v>3.1</v>
      </c>
      <c r="BF27" s="4" t="s">
        <v>81</v>
      </c>
      <c r="BG27" s="4">
        <v>0</v>
      </c>
      <c r="BH27" s="4">
        <v>0</v>
      </c>
      <c r="BI27" s="4">
        <v>0</v>
      </c>
      <c r="BJ27" s="4">
        <v>1</v>
      </c>
      <c r="BK27" s="4">
        <v>0</v>
      </c>
      <c r="BL27" s="4">
        <v>0</v>
      </c>
      <c r="BM27" s="4" t="s">
        <v>81</v>
      </c>
      <c r="BN27" s="4">
        <v>0</v>
      </c>
      <c r="BO27" s="4">
        <v>16</v>
      </c>
      <c r="BP27" s="4">
        <v>87</v>
      </c>
      <c r="BQ27" s="4">
        <v>36.6</v>
      </c>
      <c r="BR27" s="4" t="s">
        <v>132</v>
      </c>
      <c r="BS27" s="4">
        <v>0</v>
      </c>
      <c r="BT27" s="4">
        <v>5.84</v>
      </c>
      <c r="BU27" s="4">
        <v>0</v>
      </c>
      <c r="BV27" s="4">
        <v>68.739999999999995</v>
      </c>
      <c r="BW27" s="5">
        <v>3</v>
      </c>
      <c r="BX27" s="4">
        <v>0</v>
      </c>
      <c r="BY27" s="4">
        <v>1</v>
      </c>
      <c r="BZ27" s="4">
        <v>0</v>
      </c>
      <c r="CA27" s="4">
        <v>4</v>
      </c>
      <c r="CB27" s="4">
        <v>2</v>
      </c>
      <c r="CC27" s="4">
        <v>90</v>
      </c>
      <c r="CD27" s="4">
        <v>54.74</v>
      </c>
    </row>
    <row r="28" spans="1:82" x14ac:dyDescent="0.25">
      <c r="A28" s="4">
        <v>27</v>
      </c>
      <c r="B28" s="4" t="s">
        <v>118</v>
      </c>
      <c r="C28" s="4" t="s">
        <v>133</v>
      </c>
      <c r="D28" s="4" t="s">
        <v>738</v>
      </c>
      <c r="E28" s="5" t="s">
        <v>732</v>
      </c>
      <c r="F28" s="5" t="s">
        <v>732</v>
      </c>
      <c r="G28" s="4" t="s">
        <v>120</v>
      </c>
      <c r="H28" s="5">
        <v>54</v>
      </c>
      <c r="I28" s="5" t="s">
        <v>85</v>
      </c>
      <c r="J28" s="6">
        <v>20396</v>
      </c>
      <c r="K28" s="6">
        <v>40268</v>
      </c>
      <c r="L28" s="6">
        <v>40268</v>
      </c>
      <c r="M28" s="6">
        <v>40268</v>
      </c>
      <c r="N28" s="4">
        <v>11</v>
      </c>
      <c r="O28" s="4">
        <v>100</v>
      </c>
      <c r="P28" s="4">
        <v>7640</v>
      </c>
      <c r="Q28" s="4">
        <v>157</v>
      </c>
      <c r="R28" s="4">
        <v>54</v>
      </c>
      <c r="S28" s="4">
        <v>43</v>
      </c>
      <c r="T28" s="4">
        <v>148</v>
      </c>
      <c r="U28" s="4">
        <v>493</v>
      </c>
      <c r="V28" s="41">
        <v>0.8</v>
      </c>
      <c r="W28" s="4"/>
      <c r="X28" s="4">
        <v>13.7</v>
      </c>
      <c r="Y28" s="4">
        <v>1.23</v>
      </c>
      <c r="Z28" s="4"/>
      <c r="AA28" s="4">
        <v>36</v>
      </c>
      <c r="AB28" s="4">
        <v>0.65</v>
      </c>
      <c r="AC28" s="4">
        <v>137</v>
      </c>
      <c r="AD28" s="4"/>
      <c r="AE28" s="4"/>
      <c r="AF28" s="4"/>
      <c r="AG28" s="4" t="s">
        <v>81</v>
      </c>
      <c r="AH28" s="4" t="s">
        <v>81</v>
      </c>
      <c r="AI28" s="4">
        <v>143</v>
      </c>
      <c r="AJ28" s="4">
        <v>103</v>
      </c>
      <c r="AK28" s="4">
        <v>70</v>
      </c>
      <c r="AL28" s="4"/>
      <c r="AM28" s="4">
        <v>4</v>
      </c>
      <c r="AN28" s="4">
        <v>1</v>
      </c>
      <c r="AO28" s="4"/>
      <c r="AP28" s="4"/>
      <c r="AQ28" s="4"/>
      <c r="AR28" s="4"/>
      <c r="AS28" s="4"/>
      <c r="AT28" s="4"/>
      <c r="AU28" s="4"/>
      <c r="AV28" s="4"/>
      <c r="AW28" s="4"/>
      <c r="AX28" s="4">
        <v>1</v>
      </c>
      <c r="AY28" s="4">
        <v>5</v>
      </c>
      <c r="AZ28" s="4">
        <v>19</v>
      </c>
      <c r="BA28" s="4">
        <v>6.64</v>
      </c>
      <c r="BB28" s="4">
        <v>1</v>
      </c>
      <c r="BC28" s="4">
        <v>0</v>
      </c>
      <c r="BD28" s="4" t="s">
        <v>81</v>
      </c>
      <c r="BE28" s="4" t="s">
        <v>81</v>
      </c>
      <c r="BF28" s="4" t="s">
        <v>81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 t="s">
        <v>81</v>
      </c>
      <c r="BN28" s="4">
        <v>0</v>
      </c>
      <c r="BO28" s="4" t="s">
        <v>81</v>
      </c>
      <c r="BP28" s="4" t="s">
        <v>81</v>
      </c>
      <c r="BQ28" s="4" t="s">
        <v>81</v>
      </c>
      <c r="BR28" s="4" t="s">
        <v>134</v>
      </c>
      <c r="BS28" s="4">
        <v>0</v>
      </c>
      <c r="BT28" s="4">
        <v>0.01</v>
      </c>
      <c r="BU28" s="4">
        <v>0</v>
      </c>
      <c r="BV28" s="4">
        <v>63.82</v>
      </c>
      <c r="BW28" s="5">
        <v>3</v>
      </c>
      <c r="BX28" s="4">
        <v>0</v>
      </c>
      <c r="BY28" s="4">
        <v>1</v>
      </c>
      <c r="BZ28" s="4">
        <v>0</v>
      </c>
      <c r="CA28" s="4">
        <v>4</v>
      </c>
      <c r="CB28" s="4">
        <v>2</v>
      </c>
      <c r="CC28" s="4">
        <v>90</v>
      </c>
      <c r="CD28" s="4">
        <v>49.82</v>
      </c>
    </row>
    <row r="29" spans="1:82" x14ac:dyDescent="0.25">
      <c r="A29" s="4">
        <v>28</v>
      </c>
      <c r="B29" s="4" t="s">
        <v>118</v>
      </c>
      <c r="C29" s="4" t="s">
        <v>135</v>
      </c>
      <c r="D29" s="4" t="s">
        <v>738</v>
      </c>
      <c r="E29" s="5" t="s">
        <v>732</v>
      </c>
      <c r="F29" s="5" t="s">
        <v>732</v>
      </c>
      <c r="G29" s="4" t="s">
        <v>120</v>
      </c>
      <c r="H29" s="5">
        <v>34</v>
      </c>
      <c r="I29" s="5" t="s">
        <v>80</v>
      </c>
      <c r="J29" s="6">
        <v>28218</v>
      </c>
      <c r="K29" s="6">
        <v>40821</v>
      </c>
      <c r="L29" s="6">
        <v>40822</v>
      </c>
      <c r="M29" s="6">
        <v>40821</v>
      </c>
      <c r="N29" s="4">
        <v>8</v>
      </c>
      <c r="O29" s="4">
        <v>144</v>
      </c>
      <c r="P29" s="4">
        <v>7800</v>
      </c>
      <c r="Q29" s="4">
        <v>166</v>
      </c>
      <c r="R29" s="4">
        <v>373</v>
      </c>
      <c r="S29" s="4">
        <v>36</v>
      </c>
      <c r="T29" s="4">
        <v>2940</v>
      </c>
      <c r="U29" s="4">
        <v>314</v>
      </c>
      <c r="V29" s="41">
        <v>3.8</v>
      </c>
      <c r="W29" s="4"/>
      <c r="X29" s="4">
        <v>12.2</v>
      </c>
      <c r="Y29" s="4">
        <v>1.1299999999999999</v>
      </c>
      <c r="Z29" s="4"/>
      <c r="AA29" s="4">
        <v>39</v>
      </c>
      <c r="AB29" s="4">
        <v>0.69</v>
      </c>
      <c r="AC29" s="4">
        <v>137</v>
      </c>
      <c r="AD29" s="4"/>
      <c r="AE29" s="4"/>
      <c r="AF29" s="4"/>
      <c r="AG29" s="4">
        <v>135</v>
      </c>
      <c r="AH29" s="4">
        <v>85</v>
      </c>
      <c r="AI29" s="4">
        <v>76</v>
      </c>
      <c r="AJ29" s="4">
        <v>131</v>
      </c>
      <c r="AK29" s="4">
        <v>67</v>
      </c>
      <c r="AL29" s="4"/>
      <c r="AM29" s="4">
        <v>3</v>
      </c>
      <c r="AN29" s="4">
        <v>0</v>
      </c>
      <c r="AO29" s="4"/>
      <c r="AP29" s="4"/>
      <c r="AQ29" s="4"/>
      <c r="AR29" s="4"/>
      <c r="AS29" s="4"/>
      <c r="AT29" s="4"/>
      <c r="AU29" s="4"/>
      <c r="AV29" s="4"/>
      <c r="AW29" s="4"/>
      <c r="AX29" s="4">
        <v>2</v>
      </c>
      <c r="AY29" s="4">
        <v>7</v>
      </c>
      <c r="AZ29" s="4">
        <v>13</v>
      </c>
      <c r="BA29" s="4">
        <v>4.82</v>
      </c>
      <c r="BB29" s="4">
        <v>1</v>
      </c>
      <c r="BC29" s="4">
        <v>0</v>
      </c>
      <c r="BD29" s="4" t="s">
        <v>81</v>
      </c>
      <c r="BE29" s="4">
        <v>0.4</v>
      </c>
      <c r="BF29" s="4" t="s">
        <v>81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 t="s">
        <v>81</v>
      </c>
      <c r="BN29" s="4">
        <v>0</v>
      </c>
      <c r="BO29" s="4">
        <v>22</v>
      </c>
      <c r="BP29" s="4">
        <v>102</v>
      </c>
      <c r="BQ29" s="4">
        <v>37.799999999999997</v>
      </c>
      <c r="BR29" s="4" t="s">
        <v>136</v>
      </c>
      <c r="BS29" s="4">
        <v>0</v>
      </c>
      <c r="BT29" s="4">
        <v>0.08</v>
      </c>
      <c r="BU29" s="4">
        <v>0</v>
      </c>
      <c r="BV29" s="4">
        <v>59.92</v>
      </c>
      <c r="BW29" s="5">
        <v>3</v>
      </c>
      <c r="BX29" s="4">
        <v>0</v>
      </c>
      <c r="BY29" s="4">
        <v>3</v>
      </c>
      <c r="BZ29" s="4">
        <v>-1</v>
      </c>
      <c r="CA29" s="4">
        <v>5</v>
      </c>
      <c r="CB29" s="4">
        <v>2</v>
      </c>
      <c r="CC29" s="4">
        <v>90</v>
      </c>
      <c r="CD29" s="4">
        <v>45.92</v>
      </c>
    </row>
    <row r="30" spans="1:82" x14ac:dyDescent="0.25">
      <c r="A30" s="4">
        <v>29</v>
      </c>
      <c r="B30" s="4" t="s">
        <v>118</v>
      </c>
      <c r="C30" s="4" t="s">
        <v>137</v>
      </c>
      <c r="D30" s="4" t="s">
        <v>738</v>
      </c>
      <c r="E30" s="5" t="s">
        <v>732</v>
      </c>
      <c r="F30" s="5" t="s">
        <v>732</v>
      </c>
      <c r="G30" s="4" t="s">
        <v>120</v>
      </c>
      <c r="H30" s="5">
        <v>45</v>
      </c>
      <c r="I30" s="5" t="s">
        <v>85</v>
      </c>
      <c r="J30" s="6">
        <v>24134</v>
      </c>
      <c r="K30" s="6">
        <v>40905</v>
      </c>
      <c r="L30" s="6">
        <v>41272</v>
      </c>
      <c r="M30" s="6">
        <v>40905</v>
      </c>
      <c r="N30" s="4">
        <v>12</v>
      </c>
      <c r="O30" s="4">
        <v>135</v>
      </c>
      <c r="P30" s="4">
        <v>5200</v>
      </c>
      <c r="Q30" s="4">
        <v>181</v>
      </c>
      <c r="R30" s="4">
        <v>325</v>
      </c>
      <c r="S30" s="4">
        <v>59</v>
      </c>
      <c r="T30" s="4">
        <v>5095</v>
      </c>
      <c r="U30" s="4">
        <v>569</v>
      </c>
      <c r="V30" s="41">
        <v>4.4000000000000004</v>
      </c>
      <c r="W30" s="4"/>
      <c r="X30" s="4">
        <v>13.3</v>
      </c>
      <c r="Y30" s="4">
        <v>1.27</v>
      </c>
      <c r="Z30" s="4"/>
      <c r="AA30" s="4">
        <v>35</v>
      </c>
      <c r="AB30" s="4">
        <v>0.61</v>
      </c>
      <c r="AC30" s="4">
        <v>136</v>
      </c>
      <c r="AD30" s="4"/>
      <c r="AE30" s="4"/>
      <c r="AF30" s="4"/>
      <c r="AG30" s="4">
        <v>149</v>
      </c>
      <c r="AH30" s="4">
        <v>106</v>
      </c>
      <c r="AI30" s="4">
        <v>103</v>
      </c>
      <c r="AJ30" s="4">
        <v>251</v>
      </c>
      <c r="AK30" s="4">
        <v>229</v>
      </c>
      <c r="AL30" s="4"/>
      <c r="AM30" s="4">
        <v>1</v>
      </c>
      <c r="AN30" s="4">
        <v>0</v>
      </c>
      <c r="AO30" s="4"/>
      <c r="AP30" s="4"/>
      <c r="AQ30" s="4"/>
      <c r="AR30" s="4"/>
      <c r="AS30" s="4"/>
      <c r="AT30" s="4"/>
      <c r="AU30" s="4"/>
      <c r="AV30" s="4"/>
      <c r="AW30" s="4"/>
      <c r="AX30" s="4">
        <v>2</v>
      </c>
      <c r="AY30" s="4">
        <v>8</v>
      </c>
      <c r="AZ30" s="4">
        <v>15</v>
      </c>
      <c r="BA30" s="4">
        <v>6.05</v>
      </c>
      <c r="BB30" s="4">
        <v>1</v>
      </c>
      <c r="BC30" s="4">
        <v>0</v>
      </c>
      <c r="BD30" s="4" t="s">
        <v>81</v>
      </c>
      <c r="BE30" s="4">
        <v>2.8</v>
      </c>
      <c r="BF30" s="4" t="s">
        <v>81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 t="s">
        <v>81</v>
      </c>
      <c r="BN30" s="4">
        <v>0</v>
      </c>
      <c r="BO30" s="4" t="s">
        <v>81</v>
      </c>
      <c r="BP30" s="4">
        <v>109</v>
      </c>
      <c r="BQ30" s="4">
        <v>36.4</v>
      </c>
      <c r="BR30" s="4" t="s">
        <v>138</v>
      </c>
      <c r="BS30" s="4">
        <v>0</v>
      </c>
      <c r="BT30" s="4">
        <v>0.35</v>
      </c>
      <c r="BU30" s="4">
        <v>0</v>
      </c>
      <c r="BV30" s="4">
        <v>65.58</v>
      </c>
      <c r="BW30" s="5">
        <v>2</v>
      </c>
      <c r="BX30" s="4">
        <v>0</v>
      </c>
      <c r="BY30" s="4">
        <v>1</v>
      </c>
      <c r="BZ30" s="4">
        <v>0</v>
      </c>
      <c r="CA30" s="4">
        <v>3</v>
      </c>
      <c r="CB30" s="4">
        <v>2</v>
      </c>
      <c r="CC30" s="4">
        <v>90</v>
      </c>
      <c r="CD30" s="4">
        <v>51.58</v>
      </c>
    </row>
    <row r="31" spans="1:82" x14ac:dyDescent="0.25">
      <c r="A31" s="4">
        <v>30</v>
      </c>
      <c r="B31" s="4" t="s">
        <v>139</v>
      </c>
      <c r="C31" s="4" t="s">
        <v>140</v>
      </c>
      <c r="D31" s="4" t="s">
        <v>726</v>
      </c>
      <c r="E31" s="5" t="s">
        <v>726</v>
      </c>
      <c r="F31" s="5" t="s">
        <v>726</v>
      </c>
      <c r="G31" s="4" t="s">
        <v>141</v>
      </c>
      <c r="H31" s="5">
        <v>43</v>
      </c>
      <c r="I31" s="5" t="s">
        <v>80</v>
      </c>
      <c r="J31" s="6">
        <v>23608</v>
      </c>
      <c r="K31" s="6">
        <v>39638</v>
      </c>
      <c r="L31" s="5"/>
      <c r="M31" s="5"/>
      <c r="N31" s="4"/>
      <c r="O31" s="4"/>
      <c r="P31" s="4">
        <v>10200</v>
      </c>
      <c r="Q31" s="4"/>
      <c r="R31" s="4">
        <v>132</v>
      </c>
      <c r="S31" s="4"/>
      <c r="T31" s="4"/>
      <c r="U31" s="4"/>
      <c r="V31" s="41">
        <v>13.9</v>
      </c>
      <c r="W31" s="4">
        <v>49</v>
      </c>
      <c r="X31" s="4">
        <v>12.6</v>
      </c>
      <c r="Y31" s="4"/>
      <c r="Z31" s="4"/>
      <c r="AA31" s="42">
        <v>23</v>
      </c>
      <c r="AB31" s="4">
        <v>0.6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>
        <v>10</v>
      </c>
      <c r="AZ31" s="42">
        <v>19.210509823634517</v>
      </c>
      <c r="BA31" s="42">
        <v>7.0890000000000004</v>
      </c>
      <c r="BB31" s="4"/>
      <c r="BC31" s="4"/>
      <c r="BD31" s="7">
        <v>0.80592527747126663</v>
      </c>
      <c r="BE31" s="4">
        <v>20.5</v>
      </c>
      <c r="BF31" s="4"/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/>
      <c r="BN31" s="4"/>
      <c r="BO31" s="4"/>
      <c r="BP31" s="4"/>
      <c r="BQ31" s="4"/>
      <c r="BR31" s="4" t="s">
        <v>143</v>
      </c>
      <c r="BS31" s="8"/>
      <c r="BT31" s="4" t="s">
        <v>144</v>
      </c>
      <c r="BU31" s="4"/>
      <c r="BV31" s="4">
        <v>39.659999999999997</v>
      </c>
      <c r="BW31" s="9">
        <v>1</v>
      </c>
      <c r="BX31" s="4"/>
      <c r="BY31" s="4"/>
      <c r="BZ31" s="4"/>
      <c r="CA31" s="4"/>
      <c r="CB31" s="4"/>
      <c r="CC31" s="4"/>
      <c r="CD31" s="4"/>
    </row>
    <row r="32" spans="1:82" x14ac:dyDescent="0.25">
      <c r="A32" s="4">
        <v>31</v>
      </c>
      <c r="B32" s="4" t="s">
        <v>139</v>
      </c>
      <c r="C32" s="4" t="s">
        <v>145</v>
      </c>
      <c r="D32" s="4" t="s">
        <v>726</v>
      </c>
      <c r="E32" s="5" t="s">
        <v>726</v>
      </c>
      <c r="F32" s="5" t="s">
        <v>726</v>
      </c>
      <c r="G32" s="4" t="s">
        <v>141</v>
      </c>
      <c r="H32" s="5">
        <v>52</v>
      </c>
      <c r="I32" s="5" t="s">
        <v>80</v>
      </c>
      <c r="J32" s="6">
        <v>20550</v>
      </c>
      <c r="K32" s="6">
        <v>39651</v>
      </c>
      <c r="L32" s="5"/>
      <c r="M32" s="5"/>
      <c r="N32" s="4"/>
      <c r="O32" s="4"/>
      <c r="P32" s="4">
        <v>13210</v>
      </c>
      <c r="Q32" s="4"/>
      <c r="R32" s="4">
        <v>135</v>
      </c>
      <c r="S32" s="4"/>
      <c r="T32" s="4"/>
      <c r="U32" s="4"/>
      <c r="V32" s="41">
        <v>30.6</v>
      </c>
      <c r="W32" s="4">
        <v>34</v>
      </c>
      <c r="X32" s="4">
        <v>10.5</v>
      </c>
      <c r="Y32" s="4">
        <v>2</v>
      </c>
      <c r="Z32" s="4"/>
      <c r="AA32" s="42">
        <v>22.5</v>
      </c>
      <c r="AB32" s="4">
        <v>0.9</v>
      </c>
      <c r="AC32" s="4"/>
      <c r="AD32" s="4"/>
      <c r="AE32" s="4"/>
      <c r="AF32" s="4" t="s">
        <v>142</v>
      </c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>
        <v>12</v>
      </c>
      <c r="AZ32" s="42">
        <v>18.112933852313212</v>
      </c>
      <c r="BA32" s="42">
        <v>8.822000000000001</v>
      </c>
      <c r="BB32" s="4"/>
      <c r="BC32" s="4"/>
      <c r="BD32" s="7">
        <v>0.81332162905826422</v>
      </c>
      <c r="BE32" s="4">
        <v>27.4</v>
      </c>
      <c r="BF32" s="4"/>
      <c r="BG32" s="4">
        <v>0</v>
      </c>
      <c r="BH32" s="4">
        <v>0</v>
      </c>
      <c r="BI32" s="4">
        <v>0</v>
      </c>
      <c r="BJ32" s="4">
        <v>1</v>
      </c>
      <c r="BK32" s="4">
        <v>0</v>
      </c>
      <c r="BL32" s="4">
        <v>1</v>
      </c>
      <c r="BM32" s="4" t="s">
        <v>146</v>
      </c>
      <c r="BN32" s="4"/>
      <c r="BO32" s="4"/>
      <c r="BP32" s="4"/>
      <c r="BQ32" s="4"/>
      <c r="BR32" s="4" t="s">
        <v>147</v>
      </c>
      <c r="BS32" s="8"/>
      <c r="BT32" s="4">
        <v>4.9400000000000004</v>
      </c>
      <c r="BU32" s="4"/>
      <c r="BV32" s="4">
        <v>79.819999999999993</v>
      </c>
      <c r="BW32" s="9">
        <v>3</v>
      </c>
      <c r="BX32" s="4"/>
      <c r="BY32" s="4"/>
      <c r="BZ32" s="4"/>
      <c r="CA32" s="4"/>
      <c r="CB32" s="4"/>
      <c r="CC32" s="4"/>
      <c r="CD32" s="4"/>
    </row>
    <row r="33" spans="1:82" x14ac:dyDescent="0.25">
      <c r="A33" s="4">
        <v>32</v>
      </c>
      <c r="B33" s="4" t="s">
        <v>139</v>
      </c>
      <c r="C33" s="4" t="s">
        <v>148</v>
      </c>
      <c r="D33" s="4" t="s">
        <v>726</v>
      </c>
      <c r="E33" s="5" t="s">
        <v>726</v>
      </c>
      <c r="F33" s="5" t="s">
        <v>726</v>
      </c>
      <c r="G33" s="4" t="s">
        <v>141</v>
      </c>
      <c r="H33" s="5">
        <v>41</v>
      </c>
      <c r="I33" s="5" t="s">
        <v>80</v>
      </c>
      <c r="J33" s="6">
        <v>24640</v>
      </c>
      <c r="K33" s="6">
        <v>39926</v>
      </c>
      <c r="L33" s="5"/>
      <c r="M33" s="5"/>
      <c r="N33" s="4"/>
      <c r="O33" s="4"/>
      <c r="P33" s="4">
        <v>25120</v>
      </c>
      <c r="Q33" s="4"/>
      <c r="R33" s="4">
        <v>76</v>
      </c>
      <c r="S33" s="4"/>
      <c r="T33" s="4"/>
      <c r="U33" s="4"/>
      <c r="V33" s="41">
        <v>29.1</v>
      </c>
      <c r="W33" s="4">
        <v>16</v>
      </c>
      <c r="X33" s="4">
        <v>10.5</v>
      </c>
      <c r="Y33" s="4">
        <v>3.7</v>
      </c>
      <c r="Z33" s="4"/>
      <c r="AA33" s="42">
        <v>23</v>
      </c>
      <c r="AB33" s="4">
        <v>2.1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>
        <v>13</v>
      </c>
      <c r="AZ33" s="42">
        <v>40.925058267532897</v>
      </c>
      <c r="BA33" s="42">
        <v>10.118</v>
      </c>
      <c r="BB33" s="4"/>
      <c r="BC33" s="4"/>
      <c r="BD33" s="7">
        <v>0.99902240791920116</v>
      </c>
      <c r="BE33" s="4">
        <v>48.7</v>
      </c>
      <c r="BF33" s="4"/>
      <c r="BG33" s="4">
        <v>0</v>
      </c>
      <c r="BH33" s="4">
        <v>0</v>
      </c>
      <c r="BI33" s="4">
        <v>0</v>
      </c>
      <c r="BJ33" s="4">
        <v>1</v>
      </c>
      <c r="BK33" s="4">
        <v>0</v>
      </c>
      <c r="BL33" s="4">
        <v>1</v>
      </c>
      <c r="BM33" s="4" t="s">
        <v>149</v>
      </c>
      <c r="BN33" s="4"/>
      <c r="BO33" s="4"/>
      <c r="BP33" s="4"/>
      <c r="BQ33" s="4"/>
      <c r="BR33" s="4" t="s">
        <v>150</v>
      </c>
      <c r="BS33" s="8"/>
      <c r="BT33" s="4">
        <v>1.6</v>
      </c>
      <c r="BU33" s="4"/>
      <c r="BV33" s="4">
        <v>150.54</v>
      </c>
      <c r="BW33" s="9">
        <v>3</v>
      </c>
      <c r="BX33" s="4"/>
      <c r="BY33" s="4"/>
      <c r="BZ33" s="4"/>
      <c r="CA33" s="4"/>
      <c r="CB33" s="4"/>
      <c r="CC33" s="4"/>
      <c r="CD33" s="4"/>
    </row>
    <row r="34" spans="1:82" x14ac:dyDescent="0.25">
      <c r="A34" s="4">
        <v>33</v>
      </c>
      <c r="B34" s="4" t="s">
        <v>139</v>
      </c>
      <c r="C34" s="4" t="s">
        <v>151</v>
      </c>
      <c r="D34" s="4" t="s">
        <v>726</v>
      </c>
      <c r="E34" s="5" t="s">
        <v>726</v>
      </c>
      <c r="F34" s="5" t="s">
        <v>726</v>
      </c>
      <c r="G34" s="4" t="s">
        <v>141</v>
      </c>
      <c r="H34" s="5">
        <v>45</v>
      </c>
      <c r="I34" s="5" t="s">
        <v>80</v>
      </c>
      <c r="J34" s="6">
        <v>23528</v>
      </c>
      <c r="K34" s="6">
        <v>40301</v>
      </c>
      <c r="L34" s="5"/>
      <c r="M34" s="5"/>
      <c r="N34" s="4"/>
      <c r="O34" s="4"/>
      <c r="P34" s="4">
        <v>13130</v>
      </c>
      <c r="Q34" s="4"/>
      <c r="R34" s="4">
        <v>127</v>
      </c>
      <c r="S34" s="4"/>
      <c r="T34" s="4"/>
      <c r="U34" s="4"/>
      <c r="V34" s="41">
        <v>18.2</v>
      </c>
      <c r="W34" s="4">
        <v>33</v>
      </c>
      <c r="X34" s="4">
        <v>10.5</v>
      </c>
      <c r="Y34" s="4">
        <v>2.8</v>
      </c>
      <c r="Z34" s="4"/>
      <c r="AA34" s="42">
        <v>14.3</v>
      </c>
      <c r="AB34" s="4">
        <v>1.6</v>
      </c>
      <c r="AC34" s="4"/>
      <c r="AD34" s="4"/>
      <c r="AE34" s="4"/>
      <c r="AF34" s="4">
        <v>29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>
        <v>13</v>
      </c>
      <c r="AZ34" s="42">
        <v>33.427045829943452</v>
      </c>
      <c r="BA34" s="42">
        <v>8.7760000000000016</v>
      </c>
      <c r="BB34" s="4"/>
      <c r="BC34" s="4"/>
      <c r="BD34" s="7">
        <v>0.94134158319034711</v>
      </c>
      <c r="BE34" s="4">
        <v>21.7</v>
      </c>
      <c r="BF34" s="4"/>
      <c r="BG34" s="4">
        <v>0</v>
      </c>
      <c r="BH34" s="4">
        <v>0</v>
      </c>
      <c r="BI34" s="4">
        <v>0</v>
      </c>
      <c r="BJ34" s="4">
        <v>1</v>
      </c>
      <c r="BK34" s="4">
        <v>0</v>
      </c>
      <c r="BL34" s="4">
        <v>1</v>
      </c>
      <c r="BM34" s="4" t="s">
        <v>152</v>
      </c>
      <c r="BN34" s="4"/>
      <c r="BO34" s="4"/>
      <c r="BP34" s="4"/>
      <c r="BQ34" s="4"/>
      <c r="BR34" s="4" t="s">
        <v>153</v>
      </c>
      <c r="BS34" s="8"/>
      <c r="BT34" s="4">
        <v>3.26</v>
      </c>
      <c r="BU34" s="4"/>
      <c r="BV34" s="4">
        <v>80.3</v>
      </c>
      <c r="BW34" s="9">
        <v>2</v>
      </c>
      <c r="BX34" s="4"/>
      <c r="BY34" s="4"/>
      <c r="BZ34" s="4"/>
      <c r="CA34" s="4"/>
      <c r="CB34" s="4"/>
      <c r="CC34" s="4"/>
      <c r="CD34" s="4"/>
    </row>
    <row r="35" spans="1:82" x14ac:dyDescent="0.25">
      <c r="A35" s="4">
        <v>34</v>
      </c>
      <c r="B35" s="4" t="s">
        <v>139</v>
      </c>
      <c r="C35" s="4" t="s">
        <v>154</v>
      </c>
      <c r="D35" s="4" t="s">
        <v>726</v>
      </c>
      <c r="E35" s="5" t="s">
        <v>726</v>
      </c>
      <c r="F35" s="5" t="s">
        <v>726</v>
      </c>
      <c r="G35" s="4" t="s">
        <v>141</v>
      </c>
      <c r="H35" s="5">
        <v>59</v>
      </c>
      <c r="I35" s="5" t="s">
        <v>85</v>
      </c>
      <c r="J35" s="6">
        <v>18883</v>
      </c>
      <c r="K35" s="6">
        <v>40678</v>
      </c>
      <c r="L35" s="5"/>
      <c r="M35" s="5"/>
      <c r="N35" s="4"/>
      <c r="O35" s="4"/>
      <c r="P35" s="4">
        <v>7840</v>
      </c>
      <c r="Q35" s="4"/>
      <c r="R35" s="4">
        <v>104</v>
      </c>
      <c r="S35" s="4"/>
      <c r="T35" s="4"/>
      <c r="U35" s="4"/>
      <c r="V35" s="41">
        <v>21.3</v>
      </c>
      <c r="W35" s="4">
        <v>14</v>
      </c>
      <c r="X35" s="4"/>
      <c r="Y35" s="4"/>
      <c r="Z35" s="4"/>
      <c r="AA35" s="42"/>
      <c r="AB35" s="4">
        <v>0.72</v>
      </c>
      <c r="AC35" s="4"/>
      <c r="AD35" s="4"/>
      <c r="AE35" s="4"/>
      <c r="AF35" s="4">
        <v>29.6</v>
      </c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>
        <v>12</v>
      </c>
      <c r="AZ35" s="42">
        <v>20.937930784093659</v>
      </c>
      <c r="BA35" s="42">
        <v>9.48</v>
      </c>
      <c r="BB35" s="4"/>
      <c r="BC35" s="4"/>
      <c r="BD35" s="7"/>
      <c r="BE35" s="4">
        <v>29.1</v>
      </c>
      <c r="BF35" s="4"/>
      <c r="BG35" s="4">
        <v>0</v>
      </c>
      <c r="BH35" s="4">
        <v>0</v>
      </c>
      <c r="BI35" s="4">
        <v>1</v>
      </c>
      <c r="BJ35" s="4">
        <v>1</v>
      </c>
      <c r="BK35" s="4">
        <v>0</v>
      </c>
      <c r="BL35" s="4">
        <v>0</v>
      </c>
      <c r="BM35" s="4"/>
      <c r="BN35" s="4"/>
      <c r="BO35" s="4"/>
      <c r="BP35" s="4"/>
      <c r="BQ35" s="4"/>
      <c r="BR35" s="4" t="s">
        <v>155</v>
      </c>
      <c r="BS35" s="8"/>
      <c r="BT35" s="4" t="s">
        <v>142</v>
      </c>
      <c r="BU35" s="4"/>
      <c r="BV35" s="4"/>
      <c r="BW35" s="9">
        <v>1</v>
      </c>
      <c r="BX35" s="4"/>
      <c r="BY35" s="4"/>
      <c r="BZ35" s="4"/>
      <c r="CA35" s="4"/>
      <c r="CB35" s="4"/>
      <c r="CC35" s="4"/>
      <c r="CD35" s="4"/>
    </row>
    <row r="36" spans="1:82" x14ac:dyDescent="0.25">
      <c r="A36" s="4">
        <v>35</v>
      </c>
      <c r="B36" s="4" t="s">
        <v>139</v>
      </c>
      <c r="C36" s="4" t="s">
        <v>156</v>
      </c>
      <c r="D36" s="4" t="s">
        <v>726</v>
      </c>
      <c r="E36" s="5" t="s">
        <v>726</v>
      </c>
      <c r="F36" s="5" t="s">
        <v>726</v>
      </c>
      <c r="G36" s="4" t="s">
        <v>141</v>
      </c>
      <c r="H36" s="5">
        <v>48</v>
      </c>
      <c r="I36" s="5" t="s">
        <v>80</v>
      </c>
      <c r="J36" s="6">
        <v>23391</v>
      </c>
      <c r="K36" s="6">
        <v>40947</v>
      </c>
      <c r="L36" s="5"/>
      <c r="M36" s="5"/>
      <c r="N36" s="4"/>
      <c r="O36" s="4"/>
      <c r="P36" s="4">
        <v>16160</v>
      </c>
      <c r="Q36" s="4"/>
      <c r="R36" s="4"/>
      <c r="S36" s="4"/>
      <c r="T36" s="4"/>
      <c r="U36" s="4"/>
      <c r="V36" s="41">
        <v>12.8</v>
      </c>
      <c r="W36" s="4">
        <v>32</v>
      </c>
      <c r="X36" s="4">
        <v>13.6</v>
      </c>
      <c r="Y36" s="4">
        <v>2.37</v>
      </c>
      <c r="Z36" s="4"/>
      <c r="AA36" s="42">
        <v>20</v>
      </c>
      <c r="AB36" s="4">
        <v>1.02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>
        <v>13</v>
      </c>
      <c r="AZ36" s="42">
        <v>18.142242183011874</v>
      </c>
      <c r="BA36" s="42">
        <v>7.2070000000000007</v>
      </c>
      <c r="BB36" s="4"/>
      <c r="BC36" s="4"/>
      <c r="BD36" s="7">
        <v>0.62328918721728943</v>
      </c>
      <c r="BE36" s="4">
        <v>13.2</v>
      </c>
      <c r="BF36" s="4"/>
      <c r="BG36" s="4">
        <v>0</v>
      </c>
      <c r="BH36" s="4">
        <v>0</v>
      </c>
      <c r="BI36" s="4">
        <v>0</v>
      </c>
      <c r="BJ36" s="4">
        <v>1</v>
      </c>
      <c r="BK36" s="4">
        <v>1</v>
      </c>
      <c r="BL36" s="4">
        <v>1</v>
      </c>
      <c r="BM36" s="4" t="s">
        <v>157</v>
      </c>
      <c r="BN36" s="4"/>
      <c r="BO36" s="4"/>
      <c r="BP36" s="4"/>
      <c r="BQ36" s="4"/>
      <c r="BR36" s="4" t="s">
        <v>158</v>
      </c>
      <c r="BS36" s="8"/>
      <c r="BT36" s="4">
        <v>3.1</v>
      </c>
      <c r="BU36" s="4"/>
      <c r="BV36" s="4">
        <v>71.22</v>
      </c>
      <c r="BW36" s="9">
        <v>3</v>
      </c>
      <c r="BX36" s="4"/>
      <c r="BY36" s="4"/>
      <c r="BZ36" s="4"/>
      <c r="CA36" s="4"/>
      <c r="CB36" s="4"/>
      <c r="CC36" s="4"/>
      <c r="CD36" s="4"/>
    </row>
    <row r="37" spans="1:82" x14ac:dyDescent="0.25">
      <c r="A37" s="4">
        <v>36</v>
      </c>
      <c r="B37" s="4" t="s">
        <v>139</v>
      </c>
      <c r="C37" s="4" t="s">
        <v>159</v>
      </c>
      <c r="D37" s="4" t="s">
        <v>726</v>
      </c>
      <c r="E37" s="5" t="s">
        <v>726</v>
      </c>
      <c r="F37" s="5" t="s">
        <v>726</v>
      </c>
      <c r="G37" s="4" t="s">
        <v>141</v>
      </c>
      <c r="H37" s="5">
        <v>40</v>
      </c>
      <c r="I37" s="5" t="s">
        <v>80</v>
      </c>
      <c r="J37" s="6">
        <v>26261</v>
      </c>
      <c r="K37" s="6">
        <v>40998</v>
      </c>
      <c r="L37" s="5"/>
      <c r="M37" s="5"/>
      <c r="N37" s="4"/>
      <c r="O37" s="4"/>
      <c r="P37" s="4">
        <v>6600</v>
      </c>
      <c r="Q37" s="4"/>
      <c r="R37" s="4">
        <v>125</v>
      </c>
      <c r="S37" s="4"/>
      <c r="T37" s="4"/>
      <c r="U37" s="4"/>
      <c r="V37" s="41">
        <v>25.6</v>
      </c>
      <c r="W37" s="4">
        <v>17</v>
      </c>
      <c r="X37" s="4"/>
      <c r="Y37" s="4">
        <v>3.6</v>
      </c>
      <c r="Z37" s="4"/>
      <c r="AA37" s="42">
        <v>40</v>
      </c>
      <c r="AB37" s="4">
        <v>0.77</v>
      </c>
      <c r="AC37" s="4"/>
      <c r="AD37" s="4"/>
      <c r="AE37" s="4"/>
      <c r="AF37" s="4">
        <v>34</v>
      </c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>
        <v>9</v>
      </c>
      <c r="AZ37" s="42">
        <v>17.989180541711306</v>
      </c>
      <c r="BA37" s="42">
        <v>6.5420000000000007</v>
      </c>
      <c r="BB37" s="4"/>
      <c r="BC37" s="4"/>
      <c r="BD37" s="7"/>
      <c r="BE37" s="4">
        <v>39</v>
      </c>
      <c r="BF37" s="4"/>
      <c r="BG37" s="4">
        <v>0</v>
      </c>
      <c r="BH37" s="4">
        <v>0</v>
      </c>
      <c r="BI37" s="4">
        <v>0</v>
      </c>
      <c r="BJ37" s="4">
        <v>1</v>
      </c>
      <c r="BK37" s="4">
        <v>0</v>
      </c>
      <c r="BL37" s="4">
        <v>0</v>
      </c>
      <c r="BM37" s="4"/>
      <c r="BN37" s="4"/>
      <c r="BO37" s="4"/>
      <c r="BP37" s="4"/>
      <c r="BQ37" s="4"/>
      <c r="BR37" s="4" t="s">
        <v>160</v>
      </c>
      <c r="BS37" s="8"/>
      <c r="BT37" s="4">
        <v>1</v>
      </c>
      <c r="BU37" s="4"/>
      <c r="BV37" s="4"/>
      <c r="BW37" s="9">
        <v>3</v>
      </c>
      <c r="BX37" s="4"/>
      <c r="BY37" s="4"/>
      <c r="BZ37" s="4"/>
      <c r="CA37" s="4"/>
      <c r="CB37" s="4"/>
      <c r="CC37" s="4"/>
      <c r="CD37" s="4"/>
    </row>
    <row r="38" spans="1:82" x14ac:dyDescent="0.25">
      <c r="A38" s="4">
        <v>37</v>
      </c>
      <c r="B38" s="4" t="s">
        <v>139</v>
      </c>
      <c r="C38" s="4" t="s">
        <v>161</v>
      </c>
      <c r="D38" s="4" t="s">
        <v>726</v>
      </c>
      <c r="E38" s="5" t="s">
        <v>726</v>
      </c>
      <c r="F38" s="5" t="s">
        <v>726</v>
      </c>
      <c r="G38" s="4" t="s">
        <v>141</v>
      </c>
      <c r="H38" s="5">
        <v>38</v>
      </c>
      <c r="I38" s="5" t="s">
        <v>80</v>
      </c>
      <c r="J38" s="6">
        <v>26904</v>
      </c>
      <c r="K38" s="6">
        <v>41112</v>
      </c>
      <c r="L38" s="5"/>
      <c r="M38" s="5"/>
      <c r="N38" s="4"/>
      <c r="O38" s="4"/>
      <c r="P38" s="4">
        <v>9600</v>
      </c>
      <c r="Q38" s="4"/>
      <c r="R38" s="4">
        <v>128</v>
      </c>
      <c r="S38" s="4"/>
      <c r="T38" s="4"/>
      <c r="U38" s="4"/>
      <c r="V38" s="41">
        <v>39.6</v>
      </c>
      <c r="W38" s="4">
        <v>43</v>
      </c>
      <c r="X38" s="4">
        <v>13.2</v>
      </c>
      <c r="Y38" s="4">
        <v>1.9</v>
      </c>
      <c r="Z38" s="4"/>
      <c r="AA38" s="42">
        <v>34</v>
      </c>
      <c r="AB38" s="4">
        <v>0.6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>
        <v>12</v>
      </c>
      <c r="AZ38" s="42">
        <v>18.102883026164079</v>
      </c>
      <c r="BA38" s="42">
        <v>7.56</v>
      </c>
      <c r="BB38" s="4"/>
      <c r="BC38" s="4"/>
      <c r="BD38" s="7">
        <v>0.98809005409396178</v>
      </c>
      <c r="BE38" s="4">
        <v>54.2</v>
      </c>
      <c r="BF38" s="4"/>
      <c r="BG38" s="4">
        <v>0</v>
      </c>
      <c r="BH38" s="4">
        <v>0</v>
      </c>
      <c r="BI38" s="4">
        <v>0</v>
      </c>
      <c r="BJ38" s="4">
        <v>1</v>
      </c>
      <c r="BK38" s="4">
        <v>0</v>
      </c>
      <c r="BL38" s="4">
        <v>0</v>
      </c>
      <c r="BM38" s="4"/>
      <c r="BN38" s="4"/>
      <c r="BO38" s="4"/>
      <c r="BP38" s="4"/>
      <c r="BQ38" s="4"/>
      <c r="BR38" s="4" t="s">
        <v>162</v>
      </c>
      <c r="BS38" s="8"/>
      <c r="BT38" s="4">
        <v>8</v>
      </c>
      <c r="BU38" s="4"/>
      <c r="BV38" s="4">
        <v>77.78</v>
      </c>
      <c r="BW38" s="9">
        <v>2</v>
      </c>
      <c r="BX38" s="4"/>
      <c r="BY38" s="4"/>
      <c r="BZ38" s="4"/>
      <c r="CA38" s="4"/>
      <c r="CB38" s="4"/>
      <c r="CC38" s="4"/>
      <c r="CD38" s="4"/>
    </row>
    <row r="39" spans="1:82" x14ac:dyDescent="0.25">
      <c r="A39" s="4">
        <v>38</v>
      </c>
      <c r="B39" s="4" t="s">
        <v>139</v>
      </c>
      <c r="C39" s="4" t="s">
        <v>163</v>
      </c>
      <c r="D39" s="4" t="s">
        <v>726</v>
      </c>
      <c r="E39" s="5" t="s">
        <v>726</v>
      </c>
      <c r="F39" s="5" t="s">
        <v>726</v>
      </c>
      <c r="G39" s="4" t="s">
        <v>141</v>
      </c>
      <c r="H39" s="5"/>
      <c r="I39" s="5"/>
      <c r="J39" s="5"/>
      <c r="K39" s="5"/>
      <c r="L39" s="5"/>
      <c r="M39" s="5"/>
      <c r="N39" s="4"/>
      <c r="O39" s="4"/>
      <c r="P39" s="4"/>
      <c r="Q39" s="4"/>
      <c r="R39" s="4">
        <v>104</v>
      </c>
      <c r="S39" s="4"/>
      <c r="T39" s="4"/>
      <c r="U39" s="4"/>
      <c r="V39" s="41">
        <v>12</v>
      </c>
      <c r="W39" s="4"/>
      <c r="X39" s="4"/>
      <c r="Y39" s="4">
        <v>1.5</v>
      </c>
      <c r="Z39" s="4"/>
      <c r="AA39" s="42">
        <v>26.4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>
        <v>12</v>
      </c>
      <c r="AZ39" s="42"/>
      <c r="BA39" s="42"/>
      <c r="BB39" s="4"/>
      <c r="BC39" s="4"/>
      <c r="BD39" s="7"/>
      <c r="BE39" s="4"/>
      <c r="BF39" s="4"/>
      <c r="BG39" s="4">
        <v>0</v>
      </c>
      <c r="BH39" s="4">
        <v>0</v>
      </c>
      <c r="BI39" s="4">
        <v>0</v>
      </c>
      <c r="BJ39" s="4"/>
      <c r="BK39" s="4"/>
      <c r="BL39" s="4"/>
      <c r="BM39" s="4"/>
      <c r="BN39" s="4"/>
      <c r="BO39" s="4"/>
      <c r="BP39" s="4"/>
      <c r="BQ39" s="4"/>
      <c r="BR39" s="4"/>
      <c r="BS39" s="10"/>
      <c r="BT39" s="4"/>
      <c r="BU39" s="4"/>
      <c r="BV39" s="4"/>
      <c r="BW39" s="11"/>
      <c r="BX39" s="4"/>
      <c r="BY39" s="4"/>
      <c r="BZ39" s="4"/>
      <c r="CA39" s="4"/>
      <c r="CB39" s="4"/>
      <c r="CC39" s="4"/>
      <c r="CD39" s="4"/>
    </row>
    <row r="40" spans="1:82" x14ac:dyDescent="0.25">
      <c r="A40" s="4">
        <v>39</v>
      </c>
      <c r="B40" s="4" t="s">
        <v>139</v>
      </c>
      <c r="C40" s="4" t="s">
        <v>164</v>
      </c>
      <c r="D40" s="4" t="s">
        <v>726</v>
      </c>
      <c r="E40" s="5" t="s">
        <v>726</v>
      </c>
      <c r="F40" s="5" t="s">
        <v>726</v>
      </c>
      <c r="G40" s="4" t="s">
        <v>141</v>
      </c>
      <c r="H40" s="5">
        <v>64</v>
      </c>
      <c r="I40" s="5" t="s">
        <v>85</v>
      </c>
      <c r="J40" s="6">
        <v>17776</v>
      </c>
      <c r="K40" s="6">
        <v>41512</v>
      </c>
      <c r="L40" s="5"/>
      <c r="M40" s="5"/>
      <c r="N40" s="4"/>
      <c r="O40" s="4"/>
      <c r="P40" s="4">
        <v>9700</v>
      </c>
      <c r="Q40" s="4"/>
      <c r="R40" s="4">
        <v>97</v>
      </c>
      <c r="S40" s="4"/>
      <c r="T40" s="4"/>
      <c r="U40" s="4"/>
      <c r="V40" s="41">
        <v>19.5</v>
      </c>
      <c r="W40" s="4">
        <v>35</v>
      </c>
      <c r="X40" s="4">
        <v>8.6</v>
      </c>
      <c r="Y40" s="4">
        <v>2.0499999999999998</v>
      </c>
      <c r="Z40" s="4"/>
      <c r="AA40" s="42">
        <v>27</v>
      </c>
      <c r="AB40" s="4">
        <v>0.6</v>
      </c>
      <c r="AC40" s="4"/>
      <c r="AD40" s="4"/>
      <c r="AE40" s="4"/>
      <c r="AF40" s="4">
        <v>21.6</v>
      </c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>
        <v>11</v>
      </c>
      <c r="AZ40" s="42">
        <v>15.47555512756955</v>
      </c>
      <c r="BA40" s="42">
        <v>8.84</v>
      </c>
      <c r="BB40" s="4"/>
      <c r="BC40" s="4"/>
      <c r="BD40" s="7">
        <v>0.92376082677768212</v>
      </c>
      <c r="BE40" s="4">
        <v>22.2</v>
      </c>
      <c r="BF40" s="4"/>
      <c r="BG40" s="4">
        <v>0</v>
      </c>
      <c r="BH40" s="4">
        <v>0</v>
      </c>
      <c r="BI40" s="4">
        <v>1</v>
      </c>
      <c r="BJ40" s="4">
        <v>0</v>
      </c>
      <c r="BK40" s="4">
        <v>0</v>
      </c>
      <c r="BL40" s="4">
        <v>1</v>
      </c>
      <c r="BM40" s="4" t="s">
        <v>165</v>
      </c>
      <c r="BN40" s="4"/>
      <c r="BO40" s="4"/>
      <c r="BP40" s="4"/>
      <c r="BQ40" s="4"/>
      <c r="BR40" s="4" t="s">
        <v>166</v>
      </c>
      <c r="BS40" s="8"/>
      <c r="BT40" s="4">
        <v>2</v>
      </c>
      <c r="BU40" s="4"/>
      <c r="BV40" s="4">
        <v>65.039999999999992</v>
      </c>
      <c r="BW40" s="9">
        <v>1</v>
      </c>
      <c r="BX40" s="4"/>
      <c r="BY40" s="4"/>
      <c r="BZ40" s="4"/>
      <c r="CA40" s="4"/>
      <c r="CB40" s="4"/>
      <c r="CC40" s="4"/>
      <c r="CD40" s="4"/>
    </row>
    <row r="41" spans="1:82" x14ac:dyDescent="0.25">
      <c r="A41" s="4">
        <v>40</v>
      </c>
      <c r="B41" s="4" t="s">
        <v>139</v>
      </c>
      <c r="C41" s="4" t="s">
        <v>167</v>
      </c>
      <c r="D41" s="4" t="s">
        <v>726</v>
      </c>
      <c r="E41" s="5" t="s">
        <v>726</v>
      </c>
      <c r="F41" s="5" t="s">
        <v>726</v>
      </c>
      <c r="G41" s="4" t="s">
        <v>141</v>
      </c>
      <c r="H41" s="5"/>
      <c r="I41" s="5"/>
      <c r="J41" s="5"/>
      <c r="K41" s="5"/>
      <c r="L41" s="5"/>
      <c r="M41" s="5"/>
      <c r="N41" s="4"/>
      <c r="O41" s="4"/>
      <c r="P41" s="4"/>
      <c r="Q41" s="4"/>
      <c r="R41" s="4">
        <v>111</v>
      </c>
      <c r="S41" s="4"/>
      <c r="T41" s="4"/>
      <c r="U41" s="4"/>
      <c r="V41" s="41">
        <v>16.399999999999999</v>
      </c>
      <c r="W41" s="4"/>
      <c r="X41" s="4"/>
      <c r="Y41" s="4">
        <v>1.9</v>
      </c>
      <c r="Z41" s="4"/>
      <c r="AA41" s="42">
        <v>23</v>
      </c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>
        <v>14</v>
      </c>
      <c r="AZ41" s="4"/>
      <c r="BA41" s="4"/>
      <c r="BB41" s="4"/>
      <c r="BC41" s="4"/>
      <c r="BD41" s="4"/>
      <c r="BE41" s="4"/>
      <c r="BF41" s="4"/>
      <c r="BG41" s="4">
        <v>0</v>
      </c>
      <c r="BH41" s="4">
        <v>0</v>
      </c>
      <c r="BI41" s="4">
        <v>0</v>
      </c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5"/>
      <c r="BX41" s="4"/>
      <c r="BY41" s="4"/>
      <c r="BZ41" s="4"/>
      <c r="CA41" s="4"/>
      <c r="CB41" s="4"/>
      <c r="CC41" s="4"/>
      <c r="CD41" s="4"/>
    </row>
    <row r="42" spans="1:82" x14ac:dyDescent="0.25">
      <c r="A42" s="4">
        <v>41</v>
      </c>
      <c r="B42" s="4" t="s">
        <v>168</v>
      </c>
      <c r="C42" s="4" t="s">
        <v>169</v>
      </c>
      <c r="D42" s="4" t="s">
        <v>727</v>
      </c>
      <c r="E42" s="5" t="s">
        <v>727</v>
      </c>
      <c r="F42" s="5" t="s">
        <v>727</v>
      </c>
      <c r="G42" s="4" t="s">
        <v>170</v>
      </c>
      <c r="H42" s="5">
        <v>58</v>
      </c>
      <c r="I42" s="5" t="s">
        <v>80</v>
      </c>
      <c r="J42" s="5"/>
      <c r="K42" s="5"/>
      <c r="L42" s="5"/>
      <c r="M42" s="5"/>
      <c r="N42" s="4"/>
      <c r="O42" s="4">
        <v>148</v>
      </c>
      <c r="P42" s="4">
        <v>4700</v>
      </c>
      <c r="Q42" s="4">
        <v>84</v>
      </c>
      <c r="R42" s="4">
        <v>102</v>
      </c>
      <c r="S42" s="4">
        <v>64</v>
      </c>
      <c r="T42" s="4">
        <v>197</v>
      </c>
      <c r="U42" s="4">
        <v>105</v>
      </c>
      <c r="V42" s="41">
        <v>1</v>
      </c>
      <c r="W42" s="4"/>
      <c r="X42" s="4"/>
      <c r="Y42" s="4">
        <v>0.99</v>
      </c>
      <c r="Z42" s="4"/>
      <c r="AA42" s="4">
        <v>52.6</v>
      </c>
      <c r="AB42" s="4">
        <v>0.6</v>
      </c>
      <c r="AC42" s="4">
        <v>140</v>
      </c>
      <c r="AD42" s="4">
        <v>81.8</v>
      </c>
      <c r="AE42" s="4">
        <v>183</v>
      </c>
      <c r="AF42" s="7">
        <v>24.425930902684499</v>
      </c>
      <c r="AG42" s="4">
        <v>180</v>
      </c>
      <c r="AH42" s="4">
        <v>90</v>
      </c>
      <c r="AI42" s="4">
        <v>205</v>
      </c>
      <c r="AJ42" s="4">
        <v>245</v>
      </c>
      <c r="AK42" s="4">
        <v>38</v>
      </c>
      <c r="AL42" s="4">
        <v>2.2999999999999998</v>
      </c>
      <c r="AM42" s="4">
        <v>2</v>
      </c>
      <c r="AN42" s="4">
        <v>0</v>
      </c>
      <c r="AO42" s="4">
        <v>1</v>
      </c>
      <c r="AP42" s="4">
        <v>1</v>
      </c>
      <c r="AQ42" s="4">
        <v>3</v>
      </c>
      <c r="AR42" s="4">
        <v>1</v>
      </c>
      <c r="AS42" s="4">
        <v>0</v>
      </c>
      <c r="AT42" s="4">
        <v>1</v>
      </c>
      <c r="AU42" s="4">
        <v>1</v>
      </c>
      <c r="AV42" s="4">
        <v>1</v>
      </c>
      <c r="AW42" s="4">
        <v>1</v>
      </c>
      <c r="AX42" s="4"/>
      <c r="AY42" s="4"/>
      <c r="AZ42" s="4"/>
      <c r="BA42" s="4"/>
      <c r="BB42" s="4"/>
      <c r="BC42" s="4"/>
      <c r="BD42" s="4"/>
      <c r="BE42" s="4"/>
      <c r="BF42" s="4"/>
      <c r="BG42" s="4">
        <v>0</v>
      </c>
      <c r="BH42" s="4">
        <v>0</v>
      </c>
      <c r="BI42" s="4">
        <v>0</v>
      </c>
      <c r="BJ42" s="4">
        <v>0</v>
      </c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5"/>
      <c r="BX42" s="4"/>
      <c r="BY42" s="4"/>
      <c r="BZ42" s="4"/>
      <c r="CA42" s="4"/>
      <c r="CB42" s="4"/>
      <c r="CC42" s="4"/>
      <c r="CD42" s="4"/>
    </row>
    <row r="43" spans="1:82" x14ac:dyDescent="0.25">
      <c r="A43" s="4">
        <v>42</v>
      </c>
      <c r="B43" s="4" t="s">
        <v>168</v>
      </c>
      <c r="C43" s="4" t="s">
        <v>171</v>
      </c>
      <c r="D43" s="4" t="s">
        <v>727</v>
      </c>
      <c r="E43" s="5" t="s">
        <v>727</v>
      </c>
      <c r="F43" s="5" t="s">
        <v>727</v>
      </c>
      <c r="G43" s="4" t="s">
        <v>170</v>
      </c>
      <c r="H43" s="5">
        <v>49</v>
      </c>
      <c r="I43" s="5" t="s">
        <v>80</v>
      </c>
      <c r="J43" s="5"/>
      <c r="K43" s="5"/>
      <c r="L43" s="5"/>
      <c r="M43" s="5"/>
      <c r="N43" s="4"/>
      <c r="O43" s="4">
        <v>133</v>
      </c>
      <c r="P43" s="4">
        <v>5000</v>
      </c>
      <c r="Q43" s="4">
        <v>236</v>
      </c>
      <c r="R43" s="4">
        <v>54</v>
      </c>
      <c r="S43" s="4">
        <v>51</v>
      </c>
      <c r="T43" s="4">
        <v>650</v>
      </c>
      <c r="U43" s="4">
        <v>91</v>
      </c>
      <c r="V43" s="41">
        <v>0.4</v>
      </c>
      <c r="W43" s="4"/>
      <c r="X43" s="4"/>
      <c r="Y43" s="4">
        <v>0.95</v>
      </c>
      <c r="Z43" s="4"/>
      <c r="AA43" s="4"/>
      <c r="AB43" s="4">
        <v>0.7</v>
      </c>
      <c r="AC43" s="4">
        <v>136</v>
      </c>
      <c r="AD43" s="4">
        <v>110</v>
      </c>
      <c r="AE43" s="4">
        <v>178</v>
      </c>
      <c r="AF43" s="7">
        <v>34.71783865673526</v>
      </c>
      <c r="AG43" s="4"/>
      <c r="AH43" s="4"/>
      <c r="AI43" s="4">
        <v>107</v>
      </c>
      <c r="AJ43" s="4">
        <v>264</v>
      </c>
      <c r="AK43" s="4">
        <v>579</v>
      </c>
      <c r="AL43" s="4">
        <v>1.5</v>
      </c>
      <c r="AM43" s="4">
        <v>2</v>
      </c>
      <c r="AN43" s="4">
        <v>0</v>
      </c>
      <c r="AO43" s="4">
        <v>1</v>
      </c>
      <c r="AP43" s="4">
        <v>1</v>
      </c>
      <c r="AQ43" s="4">
        <v>1</v>
      </c>
      <c r="AR43" s="4">
        <v>1</v>
      </c>
      <c r="AS43" s="4">
        <v>0</v>
      </c>
      <c r="AT43" s="4">
        <v>1</v>
      </c>
      <c r="AU43" s="4">
        <v>0</v>
      </c>
      <c r="AV43" s="4">
        <v>1</v>
      </c>
      <c r="AW43" s="4">
        <v>1</v>
      </c>
      <c r="AX43" s="4"/>
      <c r="AY43" s="4"/>
      <c r="AZ43" s="4"/>
      <c r="BA43" s="4"/>
      <c r="BB43" s="4"/>
      <c r="BC43" s="4"/>
      <c r="BD43" s="4"/>
      <c r="BE43" s="4"/>
      <c r="BF43" s="4"/>
      <c r="BG43" s="4">
        <v>0</v>
      </c>
      <c r="BH43" s="4">
        <v>0</v>
      </c>
      <c r="BI43" s="4">
        <v>0</v>
      </c>
      <c r="BJ43" s="4">
        <v>0</v>
      </c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5"/>
      <c r="BX43" s="4"/>
      <c r="BY43" s="4"/>
      <c r="BZ43" s="4"/>
      <c r="CA43" s="4"/>
      <c r="CB43" s="4"/>
      <c r="CC43" s="4"/>
      <c r="CD43" s="4"/>
    </row>
    <row r="44" spans="1:82" x14ac:dyDescent="0.25">
      <c r="A44" s="4">
        <v>43</v>
      </c>
      <c r="B44" s="4" t="s">
        <v>168</v>
      </c>
      <c r="C44" s="4" t="s">
        <v>172</v>
      </c>
      <c r="D44" s="4" t="s">
        <v>727</v>
      </c>
      <c r="E44" s="5" t="s">
        <v>727</v>
      </c>
      <c r="F44" s="5" t="s">
        <v>727</v>
      </c>
      <c r="G44" s="4" t="s">
        <v>170</v>
      </c>
      <c r="H44" s="5">
        <v>39</v>
      </c>
      <c r="I44" s="5" t="s">
        <v>80</v>
      </c>
      <c r="J44" s="5"/>
      <c r="K44" s="5"/>
      <c r="L44" s="5"/>
      <c r="M44" s="5"/>
      <c r="N44" s="4"/>
      <c r="O44" s="4">
        <v>168</v>
      </c>
      <c r="P44" s="4">
        <v>7400</v>
      </c>
      <c r="Q44" s="4">
        <v>116</v>
      </c>
      <c r="R44" s="4">
        <v>136</v>
      </c>
      <c r="S44" s="4">
        <v>92</v>
      </c>
      <c r="T44" s="4">
        <v>1268</v>
      </c>
      <c r="U44" s="4">
        <v>154</v>
      </c>
      <c r="V44" s="41">
        <v>0.7</v>
      </c>
      <c r="W44" s="4"/>
      <c r="X44" s="4"/>
      <c r="Y44" s="4">
        <v>0.81</v>
      </c>
      <c r="Z44" s="4"/>
      <c r="AA44" s="4"/>
      <c r="AB44" s="4">
        <v>0.6</v>
      </c>
      <c r="AC44" s="4">
        <v>140</v>
      </c>
      <c r="AD44" s="4">
        <v>78</v>
      </c>
      <c r="AE44" s="4">
        <v>178</v>
      </c>
      <c r="AF44" s="7">
        <v>24.618103774775911</v>
      </c>
      <c r="AG44" s="4">
        <v>140</v>
      </c>
      <c r="AH44" s="4">
        <v>80</v>
      </c>
      <c r="AI44" s="4">
        <v>109</v>
      </c>
      <c r="AJ44" s="4"/>
      <c r="AK44" s="4"/>
      <c r="AL44" s="4">
        <v>2.2000000000000002</v>
      </c>
      <c r="AM44" s="4">
        <v>2</v>
      </c>
      <c r="AN44" s="4">
        <v>0</v>
      </c>
      <c r="AO44" s="4">
        <v>2</v>
      </c>
      <c r="AP44" s="4">
        <v>1</v>
      </c>
      <c r="AQ44" s="4">
        <v>2</v>
      </c>
      <c r="AR44" s="4">
        <v>1</v>
      </c>
      <c r="AS44" s="4">
        <v>0</v>
      </c>
      <c r="AT44" s="4">
        <v>1</v>
      </c>
      <c r="AU44" s="4">
        <v>0</v>
      </c>
      <c r="AV44" s="4">
        <v>1</v>
      </c>
      <c r="AW44" s="4">
        <v>2</v>
      </c>
      <c r="AX44" s="4"/>
      <c r="AY44" s="4"/>
      <c r="AZ44" s="4"/>
      <c r="BA44" s="4"/>
      <c r="BB44" s="4"/>
      <c r="BC44" s="4"/>
      <c r="BD44" s="4"/>
      <c r="BE44" s="4"/>
      <c r="BF44" s="4"/>
      <c r="BG44" s="4">
        <v>0</v>
      </c>
      <c r="BH44" s="4">
        <v>0</v>
      </c>
      <c r="BI44" s="4">
        <v>0</v>
      </c>
      <c r="BJ44" s="4">
        <v>0</v>
      </c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5"/>
      <c r="BX44" s="4"/>
      <c r="BY44" s="4"/>
      <c r="BZ44" s="4"/>
      <c r="CA44" s="4"/>
      <c r="CB44" s="4"/>
      <c r="CC44" s="4"/>
      <c r="CD44" s="4"/>
    </row>
    <row r="45" spans="1:82" x14ac:dyDescent="0.25">
      <c r="A45" s="4">
        <v>44</v>
      </c>
      <c r="B45" s="4" t="s">
        <v>168</v>
      </c>
      <c r="C45" s="4" t="s">
        <v>173</v>
      </c>
      <c r="D45" s="4" t="s">
        <v>727</v>
      </c>
      <c r="E45" s="5" t="s">
        <v>727</v>
      </c>
      <c r="F45" s="5" t="s">
        <v>727</v>
      </c>
      <c r="G45" s="4" t="s">
        <v>170</v>
      </c>
      <c r="H45" s="5">
        <v>55</v>
      </c>
      <c r="I45" s="5" t="s">
        <v>85</v>
      </c>
      <c r="J45" s="5"/>
      <c r="K45" s="5"/>
      <c r="L45" s="5"/>
      <c r="M45" s="5"/>
      <c r="N45" s="4"/>
      <c r="O45" s="4">
        <v>158.9</v>
      </c>
      <c r="P45" s="4">
        <v>4570</v>
      </c>
      <c r="Q45" s="4">
        <v>137</v>
      </c>
      <c r="R45" s="4">
        <v>72</v>
      </c>
      <c r="S45" s="4">
        <v>92</v>
      </c>
      <c r="T45" s="4">
        <v>212</v>
      </c>
      <c r="U45" s="4">
        <v>49</v>
      </c>
      <c r="V45" s="41">
        <v>1.2999999523162842</v>
      </c>
      <c r="W45" s="4"/>
      <c r="X45" s="4"/>
      <c r="Y45" s="4">
        <v>0.97000002861022949</v>
      </c>
      <c r="Z45" s="4"/>
      <c r="AA45" s="4">
        <v>43</v>
      </c>
      <c r="AB45" s="4">
        <v>0.8399999737739563</v>
      </c>
      <c r="AC45" s="4">
        <v>139</v>
      </c>
      <c r="AD45" s="4">
        <v>83</v>
      </c>
      <c r="AE45" s="4">
        <v>183</v>
      </c>
      <c r="AF45" s="7">
        <v>24.784255981445313</v>
      </c>
      <c r="AG45" s="4">
        <v>140</v>
      </c>
      <c r="AH45" s="4">
        <v>80</v>
      </c>
      <c r="AI45" s="4">
        <v>90</v>
      </c>
      <c r="AJ45" s="4">
        <v>209</v>
      </c>
      <c r="AK45" s="4">
        <v>67</v>
      </c>
      <c r="AL45" s="4">
        <v>1.8999999761581421</v>
      </c>
      <c r="AM45" s="4">
        <v>0</v>
      </c>
      <c r="AN45" s="4">
        <v>0</v>
      </c>
      <c r="AO45" s="4">
        <v>2</v>
      </c>
      <c r="AP45" s="4">
        <v>1</v>
      </c>
      <c r="AQ45" s="4">
        <v>3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1</v>
      </c>
      <c r="AX45" s="4"/>
      <c r="AY45" s="4"/>
      <c r="AZ45" s="4"/>
      <c r="BA45" s="4"/>
      <c r="BB45" s="4"/>
      <c r="BC45" s="4"/>
      <c r="BD45" s="4"/>
      <c r="BE45" s="4"/>
      <c r="BF45" s="4"/>
      <c r="BG45" s="4">
        <v>0</v>
      </c>
      <c r="BH45" s="4">
        <v>0</v>
      </c>
      <c r="BI45" s="4">
        <v>0</v>
      </c>
      <c r="BJ45" s="4">
        <v>0</v>
      </c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5"/>
      <c r="BX45" s="4"/>
      <c r="BY45" s="4"/>
      <c r="BZ45" s="4"/>
      <c r="CA45" s="4"/>
      <c r="CB45" s="4"/>
      <c r="CC45" s="4"/>
      <c r="CD45" s="4"/>
    </row>
    <row r="46" spans="1:82" x14ac:dyDescent="0.25">
      <c r="A46" s="4">
        <v>45</v>
      </c>
      <c r="B46" s="4" t="s">
        <v>168</v>
      </c>
      <c r="C46" s="4" t="s">
        <v>174</v>
      </c>
      <c r="D46" s="4" t="s">
        <v>727</v>
      </c>
      <c r="E46" s="5" t="s">
        <v>727</v>
      </c>
      <c r="F46" s="5" t="s">
        <v>727</v>
      </c>
      <c r="G46" s="4" t="s">
        <v>170</v>
      </c>
      <c r="H46" s="5">
        <v>47</v>
      </c>
      <c r="I46" s="5" t="s">
        <v>85</v>
      </c>
      <c r="J46" s="5"/>
      <c r="K46" s="5"/>
      <c r="L46" s="5"/>
      <c r="M46" s="5"/>
      <c r="N46" s="4"/>
      <c r="O46" s="4">
        <v>171</v>
      </c>
      <c r="P46" s="4">
        <v>6690</v>
      </c>
      <c r="Q46" s="4">
        <v>166</v>
      </c>
      <c r="R46" s="4">
        <v>67</v>
      </c>
      <c r="S46" s="4">
        <v>61</v>
      </c>
      <c r="T46" s="4">
        <v>335</v>
      </c>
      <c r="U46" s="4">
        <v>52</v>
      </c>
      <c r="V46" s="41">
        <v>1.5</v>
      </c>
      <c r="W46" s="4"/>
      <c r="X46" s="4"/>
      <c r="Y46" s="4">
        <v>1.0299999713897705</v>
      </c>
      <c r="Z46" s="4"/>
      <c r="AA46" s="4">
        <v>40</v>
      </c>
      <c r="AB46" s="4">
        <v>1.1599999666213989</v>
      </c>
      <c r="AC46" s="4">
        <v>136</v>
      </c>
      <c r="AD46" s="4">
        <v>96.5</v>
      </c>
      <c r="AE46" s="4">
        <v>180</v>
      </c>
      <c r="AF46" s="7">
        <v>29.783952713012695</v>
      </c>
      <c r="AG46" s="4">
        <v>110</v>
      </c>
      <c r="AH46" s="4">
        <v>70</v>
      </c>
      <c r="AI46" s="4">
        <v>98</v>
      </c>
      <c r="AJ46" s="4">
        <v>240</v>
      </c>
      <c r="AK46" s="4">
        <v>851</v>
      </c>
      <c r="AL46" s="4">
        <v>2.4</v>
      </c>
      <c r="AM46" s="4">
        <v>1</v>
      </c>
      <c r="AN46" s="4">
        <v>0</v>
      </c>
      <c r="AO46" s="4">
        <v>2</v>
      </c>
      <c r="AP46" s="4">
        <v>1</v>
      </c>
      <c r="AQ46" s="4">
        <v>2</v>
      </c>
      <c r="AR46" s="4">
        <v>0</v>
      </c>
      <c r="AS46" s="4">
        <v>0</v>
      </c>
      <c r="AT46" s="4">
        <v>0</v>
      </c>
      <c r="AU46" s="4">
        <v>1</v>
      </c>
      <c r="AV46" s="4">
        <v>0</v>
      </c>
      <c r="AW46" s="4">
        <v>1</v>
      </c>
      <c r="AX46" s="4"/>
      <c r="AY46" s="4"/>
      <c r="AZ46" s="4"/>
      <c r="BA46" s="4"/>
      <c r="BB46" s="4"/>
      <c r="BC46" s="4"/>
      <c r="BD46" s="4"/>
      <c r="BE46" s="4"/>
      <c r="BF46" s="4"/>
      <c r="BG46" s="4">
        <v>0</v>
      </c>
      <c r="BH46" s="4">
        <v>0</v>
      </c>
      <c r="BI46" s="4">
        <v>0</v>
      </c>
      <c r="BJ46" s="4">
        <v>0</v>
      </c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5"/>
      <c r="BX46" s="4"/>
      <c r="BY46" s="4"/>
      <c r="BZ46" s="4"/>
      <c r="CA46" s="4"/>
      <c r="CB46" s="4"/>
      <c r="CC46" s="4"/>
      <c r="CD46" s="4"/>
    </row>
    <row r="47" spans="1:82" x14ac:dyDescent="0.25">
      <c r="A47" s="4">
        <v>46</v>
      </c>
      <c r="B47" s="4" t="s">
        <v>168</v>
      </c>
      <c r="C47" s="4" t="s">
        <v>175</v>
      </c>
      <c r="D47" s="4" t="s">
        <v>727</v>
      </c>
      <c r="E47" s="5" t="s">
        <v>727</v>
      </c>
      <c r="F47" s="5" t="s">
        <v>727</v>
      </c>
      <c r="G47" s="4" t="s">
        <v>170</v>
      </c>
      <c r="H47" s="5">
        <v>48</v>
      </c>
      <c r="I47" s="5" t="s">
        <v>80</v>
      </c>
      <c r="J47" s="5"/>
      <c r="K47" s="5"/>
      <c r="L47" s="5"/>
      <c r="M47" s="5"/>
      <c r="N47" s="4"/>
      <c r="O47" s="4">
        <v>128.9</v>
      </c>
      <c r="P47" s="4">
        <v>6150</v>
      </c>
      <c r="Q47" s="4">
        <v>251</v>
      </c>
      <c r="R47" s="4">
        <v>161</v>
      </c>
      <c r="S47" s="4">
        <v>89</v>
      </c>
      <c r="T47" s="4">
        <v>748</v>
      </c>
      <c r="U47" s="4">
        <v>166</v>
      </c>
      <c r="V47" s="41">
        <v>1.7000000476837158</v>
      </c>
      <c r="W47" s="4"/>
      <c r="X47" s="4"/>
      <c r="Y47" s="4">
        <v>1.0099999904632568</v>
      </c>
      <c r="Z47" s="4"/>
      <c r="AA47" s="4">
        <v>40.9</v>
      </c>
      <c r="AB47" s="4">
        <v>0.55000001192092896</v>
      </c>
      <c r="AC47" s="4">
        <v>138</v>
      </c>
      <c r="AD47" s="4">
        <v>50.9</v>
      </c>
      <c r="AE47" s="4">
        <v>165</v>
      </c>
      <c r="AF47" s="7">
        <v>18.696052551269531</v>
      </c>
      <c r="AG47" s="4">
        <v>140</v>
      </c>
      <c r="AH47" s="4">
        <v>75</v>
      </c>
      <c r="AI47" s="4">
        <v>87</v>
      </c>
      <c r="AJ47" s="4">
        <v>189</v>
      </c>
      <c r="AK47" s="4">
        <v>63</v>
      </c>
      <c r="AL47" s="4">
        <v>2.7000000476837158</v>
      </c>
      <c r="AM47" s="4">
        <v>1</v>
      </c>
      <c r="AN47" s="4">
        <v>0</v>
      </c>
      <c r="AO47" s="4">
        <v>1</v>
      </c>
      <c r="AP47" s="4">
        <v>1</v>
      </c>
      <c r="AQ47" s="4">
        <v>3</v>
      </c>
      <c r="AR47" s="4">
        <v>1</v>
      </c>
      <c r="AS47" s="4">
        <v>0</v>
      </c>
      <c r="AT47" s="4">
        <v>1</v>
      </c>
      <c r="AU47" s="4">
        <v>1</v>
      </c>
      <c r="AV47" s="4">
        <v>1</v>
      </c>
      <c r="AW47" s="4">
        <v>1</v>
      </c>
      <c r="AX47" s="4"/>
      <c r="AY47" s="4"/>
      <c r="AZ47" s="4"/>
      <c r="BA47" s="4"/>
      <c r="BB47" s="4"/>
      <c r="BC47" s="4"/>
      <c r="BD47" s="4"/>
      <c r="BE47" s="4"/>
      <c r="BF47" s="4"/>
      <c r="BG47" s="4">
        <v>0</v>
      </c>
      <c r="BH47" s="4">
        <v>0</v>
      </c>
      <c r="BI47" s="4">
        <v>0</v>
      </c>
      <c r="BJ47" s="4">
        <v>0</v>
      </c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5"/>
      <c r="BX47" s="4"/>
      <c r="BY47" s="4"/>
      <c r="BZ47" s="4"/>
      <c r="CA47" s="4"/>
      <c r="CB47" s="4"/>
      <c r="CC47" s="4"/>
      <c r="CD47" s="4"/>
    </row>
    <row r="48" spans="1:82" x14ac:dyDescent="0.25">
      <c r="A48" s="4">
        <v>47</v>
      </c>
      <c r="B48" s="4" t="s">
        <v>168</v>
      </c>
      <c r="C48" s="4" t="s">
        <v>176</v>
      </c>
      <c r="D48" s="4" t="s">
        <v>727</v>
      </c>
      <c r="E48" s="5" t="s">
        <v>727</v>
      </c>
      <c r="F48" s="5" t="s">
        <v>727</v>
      </c>
      <c r="G48" s="4" t="s">
        <v>170</v>
      </c>
      <c r="H48" s="5">
        <v>60</v>
      </c>
      <c r="I48" s="5" t="s">
        <v>80</v>
      </c>
      <c r="J48" s="5"/>
      <c r="K48" s="5"/>
      <c r="L48" s="5"/>
      <c r="M48" s="5"/>
      <c r="N48" s="4"/>
      <c r="O48" s="4">
        <v>140</v>
      </c>
      <c r="P48" s="4">
        <v>5500</v>
      </c>
      <c r="Q48" s="4">
        <v>215</v>
      </c>
      <c r="R48" s="4">
        <v>63</v>
      </c>
      <c r="S48" s="4">
        <v>48</v>
      </c>
      <c r="T48" s="4">
        <v>111</v>
      </c>
      <c r="U48" s="4">
        <v>58</v>
      </c>
      <c r="V48" s="41">
        <v>0.40000000596046448</v>
      </c>
      <c r="W48" s="4"/>
      <c r="X48" s="4"/>
      <c r="Y48" s="4">
        <v>1.0199999809265137</v>
      </c>
      <c r="Z48" s="4"/>
      <c r="AA48" s="4">
        <v>46.9</v>
      </c>
      <c r="AB48" s="4">
        <v>0.56999999284744263</v>
      </c>
      <c r="AC48" s="4">
        <v>140</v>
      </c>
      <c r="AD48" s="4">
        <v>69</v>
      </c>
      <c r="AE48" s="4">
        <v>167</v>
      </c>
      <c r="AF48" s="7">
        <v>24.740938186645508</v>
      </c>
      <c r="AG48" s="4">
        <v>140</v>
      </c>
      <c r="AH48" s="4">
        <v>68</v>
      </c>
      <c r="AI48" s="4">
        <v>81</v>
      </c>
      <c r="AJ48" s="4">
        <v>270</v>
      </c>
      <c r="AK48" s="4">
        <v>228</v>
      </c>
      <c r="AL48" s="4">
        <v>3.59</v>
      </c>
      <c r="AM48" s="4">
        <v>0</v>
      </c>
      <c r="AN48" s="4">
        <v>0</v>
      </c>
      <c r="AO48" s="4">
        <v>1</v>
      </c>
      <c r="AP48" s="4">
        <v>1</v>
      </c>
      <c r="AQ48" s="4">
        <v>1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1</v>
      </c>
      <c r="AX48" s="4"/>
      <c r="AY48" s="4"/>
      <c r="AZ48" s="4"/>
      <c r="BA48" s="4"/>
      <c r="BB48" s="4"/>
      <c r="BC48" s="4"/>
      <c r="BD48" s="4"/>
      <c r="BE48" s="4"/>
      <c r="BF48" s="4"/>
      <c r="BG48" s="4">
        <v>0</v>
      </c>
      <c r="BH48" s="4">
        <v>0</v>
      </c>
      <c r="BI48" s="4">
        <v>0</v>
      </c>
      <c r="BJ48" s="4">
        <v>0</v>
      </c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5"/>
      <c r="BX48" s="4"/>
      <c r="BY48" s="4"/>
      <c r="BZ48" s="4"/>
      <c r="CA48" s="4"/>
      <c r="CB48" s="4"/>
      <c r="CC48" s="4"/>
      <c r="CD48" s="4"/>
    </row>
    <row r="49" spans="1:82" x14ac:dyDescent="0.25">
      <c r="A49" s="4">
        <v>48</v>
      </c>
      <c r="B49" s="4" t="s">
        <v>168</v>
      </c>
      <c r="C49" s="4" t="s">
        <v>177</v>
      </c>
      <c r="D49" s="4" t="s">
        <v>727</v>
      </c>
      <c r="E49" s="5" t="s">
        <v>727</v>
      </c>
      <c r="F49" s="5" t="s">
        <v>727</v>
      </c>
      <c r="G49" s="4" t="s">
        <v>170</v>
      </c>
      <c r="H49" s="5">
        <v>56</v>
      </c>
      <c r="I49" s="5" t="s">
        <v>80</v>
      </c>
      <c r="J49" s="5"/>
      <c r="K49" s="5"/>
      <c r="L49" s="5"/>
      <c r="M49" s="5"/>
      <c r="N49" s="4"/>
      <c r="O49" s="4">
        <v>138</v>
      </c>
      <c r="P49" s="4">
        <v>4570</v>
      </c>
      <c r="Q49" s="4">
        <v>84</v>
      </c>
      <c r="R49" s="4">
        <v>52</v>
      </c>
      <c r="S49" s="4">
        <v>33</v>
      </c>
      <c r="T49" s="4">
        <v>173</v>
      </c>
      <c r="U49" s="4">
        <v>74</v>
      </c>
      <c r="V49" s="41">
        <v>1.2000000476837158</v>
      </c>
      <c r="W49" s="4"/>
      <c r="X49" s="4"/>
      <c r="Y49" s="4">
        <v>1.2000000476837158</v>
      </c>
      <c r="Z49" s="4"/>
      <c r="AA49" s="4">
        <v>41.9</v>
      </c>
      <c r="AB49" s="4">
        <v>0.60000002384185791</v>
      </c>
      <c r="AC49" s="4">
        <v>141</v>
      </c>
      <c r="AD49" s="4">
        <v>67</v>
      </c>
      <c r="AE49" s="4">
        <v>161</v>
      </c>
      <c r="AF49" s="7">
        <v>25.847766876220703</v>
      </c>
      <c r="AG49" s="4">
        <v>135</v>
      </c>
      <c r="AH49" s="4">
        <v>75</v>
      </c>
      <c r="AI49" s="4">
        <v>90</v>
      </c>
      <c r="AJ49" s="4">
        <v>130</v>
      </c>
      <c r="AK49" s="4">
        <v>82</v>
      </c>
      <c r="AL49" s="4">
        <v>1.5</v>
      </c>
      <c r="AM49" s="4">
        <v>2</v>
      </c>
      <c r="AN49" s="4">
        <v>0</v>
      </c>
      <c r="AO49" s="4">
        <v>1</v>
      </c>
      <c r="AP49" s="4">
        <v>1</v>
      </c>
      <c r="AQ49" s="4">
        <v>1</v>
      </c>
      <c r="AR49" s="4">
        <v>1</v>
      </c>
      <c r="AS49" s="4">
        <v>0</v>
      </c>
      <c r="AT49" s="4">
        <v>1</v>
      </c>
      <c r="AU49" s="4">
        <v>0</v>
      </c>
      <c r="AV49" s="4">
        <v>0</v>
      </c>
      <c r="AW49" s="4">
        <v>1</v>
      </c>
      <c r="AX49" s="4"/>
      <c r="AY49" s="4"/>
      <c r="AZ49" s="4"/>
      <c r="BA49" s="4"/>
      <c r="BB49" s="4"/>
      <c r="BC49" s="4"/>
      <c r="BD49" s="4"/>
      <c r="BE49" s="4"/>
      <c r="BF49" s="4"/>
      <c r="BG49" s="4">
        <v>0</v>
      </c>
      <c r="BH49" s="4">
        <v>0</v>
      </c>
      <c r="BI49" s="4">
        <v>0</v>
      </c>
      <c r="BJ49" s="4">
        <v>0</v>
      </c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5"/>
      <c r="BX49" s="4"/>
      <c r="BY49" s="4"/>
      <c r="BZ49" s="4"/>
      <c r="CA49" s="4"/>
      <c r="CB49" s="4"/>
      <c r="CC49" s="4"/>
      <c r="CD49" s="4"/>
    </row>
    <row r="50" spans="1:82" x14ac:dyDescent="0.25">
      <c r="A50" s="4">
        <v>49</v>
      </c>
      <c r="B50" s="4" t="s">
        <v>168</v>
      </c>
      <c r="C50" s="4" t="s">
        <v>178</v>
      </c>
      <c r="D50" s="4" t="s">
        <v>727</v>
      </c>
      <c r="E50" s="5" t="s">
        <v>727</v>
      </c>
      <c r="F50" s="5" t="s">
        <v>727</v>
      </c>
      <c r="G50" s="4" t="s">
        <v>170</v>
      </c>
      <c r="H50" s="5">
        <v>49</v>
      </c>
      <c r="I50" s="5" t="s">
        <v>80</v>
      </c>
      <c r="J50" s="5"/>
      <c r="K50" s="5"/>
      <c r="L50" s="5"/>
      <c r="M50" s="5"/>
      <c r="N50" s="4"/>
      <c r="O50" s="4">
        <v>135</v>
      </c>
      <c r="P50" s="4">
        <v>11539.999961853027</v>
      </c>
      <c r="Q50" s="4">
        <v>237</v>
      </c>
      <c r="R50" s="4">
        <v>112</v>
      </c>
      <c r="S50" s="4">
        <v>90</v>
      </c>
      <c r="T50" s="4">
        <v>769</v>
      </c>
      <c r="U50" s="4">
        <v>180</v>
      </c>
      <c r="V50" s="41">
        <v>1.2000000476837158</v>
      </c>
      <c r="W50" s="4"/>
      <c r="X50" s="4"/>
      <c r="Y50" s="4">
        <v>0.89999997615814209</v>
      </c>
      <c r="Z50" s="4"/>
      <c r="AA50" s="4">
        <v>46.9</v>
      </c>
      <c r="AB50" s="4">
        <v>0.51999998092651367</v>
      </c>
      <c r="AC50" s="4">
        <v>136</v>
      </c>
      <c r="AD50" s="4">
        <v>46</v>
      </c>
      <c r="AE50" s="4">
        <v>168</v>
      </c>
      <c r="AF50" s="7">
        <v>16.298187255859375</v>
      </c>
      <c r="AG50" s="4">
        <v>105</v>
      </c>
      <c r="AH50" s="4">
        <v>65</v>
      </c>
      <c r="AI50" s="4">
        <v>107</v>
      </c>
      <c r="AJ50" s="4">
        <v>263</v>
      </c>
      <c r="AK50" s="4">
        <v>109</v>
      </c>
      <c r="AL50" s="4">
        <v>1</v>
      </c>
      <c r="AM50" s="4">
        <v>2</v>
      </c>
      <c r="AN50" s="4">
        <v>0</v>
      </c>
      <c r="AO50" s="4">
        <v>2</v>
      </c>
      <c r="AP50" s="4">
        <v>1</v>
      </c>
      <c r="AQ50" s="4">
        <v>2</v>
      </c>
      <c r="AR50" s="4">
        <v>1</v>
      </c>
      <c r="AS50" s="4">
        <v>1</v>
      </c>
      <c r="AT50" s="4">
        <v>0</v>
      </c>
      <c r="AU50" s="4">
        <v>0</v>
      </c>
      <c r="AV50" s="4">
        <v>2</v>
      </c>
      <c r="AW50" s="4">
        <v>2</v>
      </c>
      <c r="AX50" s="4"/>
      <c r="AY50" s="4"/>
      <c r="AZ50" s="4"/>
      <c r="BA50" s="4"/>
      <c r="BB50" s="4"/>
      <c r="BC50" s="4"/>
      <c r="BD50" s="4"/>
      <c r="BE50" s="4"/>
      <c r="BF50" s="4"/>
      <c r="BG50" s="4">
        <v>0</v>
      </c>
      <c r="BH50" s="4">
        <v>0</v>
      </c>
      <c r="BI50" s="4">
        <v>0</v>
      </c>
      <c r="BJ50" s="4">
        <v>0</v>
      </c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5"/>
      <c r="BX50" s="4"/>
      <c r="BY50" s="4"/>
      <c r="BZ50" s="4"/>
      <c r="CA50" s="4"/>
      <c r="CB50" s="4"/>
      <c r="CC50" s="4"/>
      <c r="CD50" s="4"/>
    </row>
    <row r="51" spans="1:82" x14ac:dyDescent="0.25">
      <c r="A51" s="4">
        <v>50</v>
      </c>
      <c r="B51" s="4" t="s">
        <v>168</v>
      </c>
      <c r="C51" s="4" t="s">
        <v>179</v>
      </c>
      <c r="D51" s="4" t="s">
        <v>727</v>
      </c>
      <c r="E51" s="5" t="s">
        <v>727</v>
      </c>
      <c r="F51" s="5" t="s">
        <v>727</v>
      </c>
      <c r="G51" s="4" t="s">
        <v>170</v>
      </c>
      <c r="H51" s="5">
        <v>69</v>
      </c>
      <c r="I51" s="5" t="s">
        <v>85</v>
      </c>
      <c r="J51" s="5"/>
      <c r="K51" s="5"/>
      <c r="L51" s="5"/>
      <c r="M51" s="5"/>
      <c r="N51" s="4"/>
      <c r="O51" s="4">
        <v>170</v>
      </c>
      <c r="P51" s="4">
        <v>7340</v>
      </c>
      <c r="Q51" s="4">
        <v>195</v>
      </c>
      <c r="R51" s="4">
        <v>129</v>
      </c>
      <c r="S51" s="4">
        <v>64</v>
      </c>
      <c r="T51" s="4">
        <v>269</v>
      </c>
      <c r="U51" s="4">
        <v>88</v>
      </c>
      <c r="V51" s="41">
        <v>1.5</v>
      </c>
      <c r="W51" s="4"/>
      <c r="X51" s="4"/>
      <c r="Y51" s="4">
        <v>0.89999997615814209</v>
      </c>
      <c r="Z51" s="4"/>
      <c r="AA51" s="4">
        <v>45.9</v>
      </c>
      <c r="AB51" s="4">
        <v>0.68000000715255737</v>
      </c>
      <c r="AC51" s="4">
        <v>139</v>
      </c>
      <c r="AD51" s="4">
        <v>92.8</v>
      </c>
      <c r="AE51" s="4">
        <v>178</v>
      </c>
      <c r="AF51" s="7">
        <v>29.289234161376953</v>
      </c>
      <c r="AG51" s="4">
        <v>170</v>
      </c>
      <c r="AH51" s="4">
        <v>100</v>
      </c>
      <c r="AI51" s="4">
        <v>124</v>
      </c>
      <c r="AJ51" s="4">
        <v>204</v>
      </c>
      <c r="AK51" s="4">
        <v>70</v>
      </c>
      <c r="AL51" s="4">
        <v>2.5</v>
      </c>
      <c r="AM51" s="4">
        <v>1</v>
      </c>
      <c r="AN51" s="4">
        <v>0</v>
      </c>
      <c r="AO51" s="4">
        <v>1</v>
      </c>
      <c r="AP51" s="4">
        <v>1</v>
      </c>
      <c r="AQ51" s="4">
        <v>1</v>
      </c>
      <c r="AR51" s="4">
        <v>1</v>
      </c>
      <c r="AS51" s="4">
        <v>0</v>
      </c>
      <c r="AT51" s="4">
        <v>1</v>
      </c>
      <c r="AU51" s="4">
        <v>0</v>
      </c>
      <c r="AV51" s="4">
        <v>0</v>
      </c>
      <c r="AW51" s="4">
        <v>1</v>
      </c>
      <c r="AX51" s="4"/>
      <c r="AY51" s="4"/>
      <c r="AZ51" s="4"/>
      <c r="BA51" s="4"/>
      <c r="BB51" s="4"/>
      <c r="BC51" s="4"/>
      <c r="BD51" s="4"/>
      <c r="BE51" s="4"/>
      <c r="BF51" s="4"/>
      <c r="BG51" s="4">
        <v>0</v>
      </c>
      <c r="BH51" s="4">
        <v>0</v>
      </c>
      <c r="BI51" s="4">
        <v>0</v>
      </c>
      <c r="BJ51" s="4">
        <v>0</v>
      </c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5"/>
      <c r="BX51" s="4"/>
      <c r="BY51" s="4"/>
      <c r="BZ51" s="4"/>
      <c r="CA51" s="4"/>
      <c r="CB51" s="4"/>
      <c r="CC51" s="4"/>
      <c r="CD51" s="4"/>
    </row>
    <row r="52" spans="1:82" x14ac:dyDescent="0.25">
      <c r="A52" s="4">
        <v>51</v>
      </c>
      <c r="B52" s="4" t="s">
        <v>168</v>
      </c>
      <c r="C52" s="4" t="s">
        <v>180</v>
      </c>
      <c r="D52" s="4" t="s">
        <v>727</v>
      </c>
      <c r="E52" s="5" t="s">
        <v>727</v>
      </c>
      <c r="F52" s="5" t="s">
        <v>727</v>
      </c>
      <c r="G52" s="4" t="s">
        <v>170</v>
      </c>
      <c r="H52" s="5">
        <v>49</v>
      </c>
      <c r="I52" s="5" t="s">
        <v>85</v>
      </c>
      <c r="J52" s="5"/>
      <c r="K52" s="5"/>
      <c r="L52" s="5"/>
      <c r="M52" s="5"/>
      <c r="N52" s="4"/>
      <c r="O52" s="4">
        <v>146.9</v>
      </c>
      <c r="P52" s="4">
        <v>3860</v>
      </c>
      <c r="Q52" s="4">
        <v>249</v>
      </c>
      <c r="R52" s="4">
        <v>160</v>
      </c>
      <c r="S52" s="4">
        <v>76</v>
      </c>
      <c r="T52" s="4">
        <v>558</v>
      </c>
      <c r="U52" s="4">
        <v>99</v>
      </c>
      <c r="V52" s="41">
        <v>0.80000001192092896</v>
      </c>
      <c r="W52" s="4"/>
      <c r="X52" s="4"/>
      <c r="Y52" s="4">
        <v>1.0199999809265137</v>
      </c>
      <c r="Z52" s="4"/>
      <c r="AA52" s="4">
        <v>45</v>
      </c>
      <c r="AB52" s="4">
        <v>0.60000002384185791</v>
      </c>
      <c r="AC52" s="4">
        <v>140</v>
      </c>
      <c r="AD52" s="4">
        <v>65</v>
      </c>
      <c r="AE52" s="4">
        <v>169</v>
      </c>
      <c r="AF52" s="7">
        <v>22.758306503295898</v>
      </c>
      <c r="AG52" s="4">
        <v>125</v>
      </c>
      <c r="AH52" s="4">
        <v>80</v>
      </c>
      <c r="AI52" s="4">
        <v>110</v>
      </c>
      <c r="AJ52" s="4">
        <v>198</v>
      </c>
      <c r="AK52" s="4">
        <v>108</v>
      </c>
      <c r="AL52" s="4">
        <v>3.5</v>
      </c>
      <c r="AM52" s="4">
        <v>0</v>
      </c>
      <c r="AN52" s="4">
        <v>0</v>
      </c>
      <c r="AO52" s="4">
        <v>0</v>
      </c>
      <c r="AP52" s="4">
        <v>0</v>
      </c>
      <c r="AQ52" s="4">
        <v>3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2</v>
      </c>
      <c r="AX52" s="4"/>
      <c r="AY52" s="4"/>
      <c r="AZ52" s="4"/>
      <c r="BA52" s="4"/>
      <c r="BB52" s="4"/>
      <c r="BC52" s="4"/>
      <c r="BD52" s="4"/>
      <c r="BE52" s="4"/>
      <c r="BF52" s="4"/>
      <c r="BG52" s="4">
        <v>0</v>
      </c>
      <c r="BH52" s="4">
        <v>0</v>
      </c>
      <c r="BI52" s="4">
        <v>0</v>
      </c>
      <c r="BJ52" s="4">
        <v>0</v>
      </c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5"/>
      <c r="BX52" s="4"/>
      <c r="BY52" s="4"/>
      <c r="BZ52" s="4"/>
      <c r="CA52" s="4"/>
      <c r="CB52" s="4"/>
      <c r="CC52" s="4"/>
      <c r="CD52" s="4"/>
    </row>
    <row r="53" spans="1:82" x14ac:dyDescent="0.25">
      <c r="A53" s="4">
        <v>52</v>
      </c>
      <c r="B53" s="4" t="s">
        <v>168</v>
      </c>
      <c r="C53" s="4" t="s">
        <v>181</v>
      </c>
      <c r="D53" s="4" t="s">
        <v>727</v>
      </c>
      <c r="E53" s="5" t="s">
        <v>727</v>
      </c>
      <c r="F53" s="5" t="s">
        <v>727</v>
      </c>
      <c r="G53" s="4" t="s">
        <v>170</v>
      </c>
      <c r="H53" s="5">
        <v>59</v>
      </c>
      <c r="I53" s="5" t="s">
        <v>85</v>
      </c>
      <c r="J53" s="5"/>
      <c r="K53" s="5"/>
      <c r="L53" s="5"/>
      <c r="M53" s="5"/>
      <c r="N53" s="4"/>
      <c r="O53" s="4">
        <v>138.9</v>
      </c>
      <c r="P53" s="4">
        <v>5690</v>
      </c>
      <c r="Q53" s="4">
        <v>184</v>
      </c>
      <c r="R53" s="4">
        <v>204</v>
      </c>
      <c r="S53" s="4">
        <v>84</v>
      </c>
      <c r="T53" s="4">
        <v>441</v>
      </c>
      <c r="U53" s="4">
        <v>88</v>
      </c>
      <c r="V53" s="41">
        <v>1.2000000476837158</v>
      </c>
      <c r="W53" s="4"/>
      <c r="X53" s="4"/>
      <c r="Y53" s="4">
        <v>0.99000000953674316</v>
      </c>
      <c r="Z53" s="4"/>
      <c r="AA53" s="4">
        <v>45</v>
      </c>
      <c r="AB53" s="4">
        <v>0.95999997854232788</v>
      </c>
      <c r="AC53" s="4">
        <v>142</v>
      </c>
      <c r="AD53" s="4">
        <v>85</v>
      </c>
      <c r="AE53" s="4">
        <v>186</v>
      </c>
      <c r="AF53" s="7">
        <v>24.569314956665039</v>
      </c>
      <c r="AG53" s="4">
        <v>100</v>
      </c>
      <c r="AH53" s="4">
        <v>70</v>
      </c>
      <c r="AI53" s="4">
        <v>82</v>
      </c>
      <c r="AJ53" s="4">
        <v>231</v>
      </c>
      <c r="AK53" s="4">
        <v>63</v>
      </c>
      <c r="AL53" s="4">
        <v>1</v>
      </c>
      <c r="AM53" s="4">
        <v>0</v>
      </c>
      <c r="AN53" s="4">
        <v>0</v>
      </c>
      <c r="AO53" s="4">
        <v>2</v>
      </c>
      <c r="AP53" s="4">
        <v>1</v>
      </c>
      <c r="AQ53" s="4">
        <v>3</v>
      </c>
      <c r="AR53" s="4">
        <v>0</v>
      </c>
      <c r="AS53" s="4">
        <v>0</v>
      </c>
      <c r="AT53" s="4">
        <v>0</v>
      </c>
      <c r="AU53" s="4">
        <v>1</v>
      </c>
      <c r="AV53" s="4">
        <v>0</v>
      </c>
      <c r="AW53" s="4">
        <v>1</v>
      </c>
      <c r="AX53" s="4"/>
      <c r="AY53" s="4"/>
      <c r="AZ53" s="4"/>
      <c r="BA53" s="4"/>
      <c r="BB53" s="4"/>
      <c r="BC53" s="4"/>
      <c r="BD53" s="4"/>
      <c r="BE53" s="4"/>
      <c r="BF53" s="4"/>
      <c r="BG53" s="4">
        <v>0</v>
      </c>
      <c r="BH53" s="4">
        <v>0</v>
      </c>
      <c r="BI53" s="4">
        <v>0</v>
      </c>
      <c r="BJ53" s="4">
        <v>0</v>
      </c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5"/>
      <c r="BX53" s="4"/>
      <c r="BY53" s="4"/>
      <c r="BZ53" s="4"/>
      <c r="CA53" s="4"/>
      <c r="CB53" s="4"/>
      <c r="CC53" s="4"/>
      <c r="CD53" s="4"/>
    </row>
    <row r="54" spans="1:82" x14ac:dyDescent="0.25">
      <c r="A54" s="4">
        <v>53</v>
      </c>
      <c r="B54" s="4" t="s">
        <v>182</v>
      </c>
      <c r="C54" s="4" t="s">
        <v>183</v>
      </c>
      <c r="D54" s="4" t="s">
        <v>184</v>
      </c>
      <c r="E54" s="5" t="s">
        <v>184</v>
      </c>
      <c r="F54" s="5" t="s">
        <v>184</v>
      </c>
      <c r="G54" s="4" t="s">
        <v>184</v>
      </c>
      <c r="H54" s="5">
        <v>68</v>
      </c>
      <c r="I54" s="5" t="s">
        <v>85</v>
      </c>
      <c r="J54" s="5"/>
      <c r="K54" s="5"/>
      <c r="L54" s="6">
        <v>38406</v>
      </c>
      <c r="M54" s="6">
        <v>38394</v>
      </c>
      <c r="N54" s="4"/>
      <c r="O54" s="4">
        <v>142</v>
      </c>
      <c r="P54" s="4">
        <v>7100</v>
      </c>
      <c r="Q54" s="4">
        <v>189</v>
      </c>
      <c r="R54" s="4">
        <v>55</v>
      </c>
      <c r="S54" s="4">
        <v>66</v>
      </c>
      <c r="T54" s="4">
        <v>25</v>
      </c>
      <c r="U54" s="4">
        <v>139</v>
      </c>
      <c r="V54" s="41">
        <v>0.9</v>
      </c>
      <c r="W54" s="4">
        <v>94</v>
      </c>
      <c r="X54" s="4">
        <v>13.3</v>
      </c>
      <c r="Y54" s="4"/>
      <c r="Z54" s="7">
        <v>1.2090909090909092</v>
      </c>
      <c r="AA54" s="4">
        <v>46</v>
      </c>
      <c r="AB54" s="4">
        <v>1.2</v>
      </c>
      <c r="AC54" s="4">
        <v>143</v>
      </c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>
        <v>0</v>
      </c>
      <c r="BH54" s="4">
        <v>0</v>
      </c>
      <c r="BI54" s="4">
        <v>0</v>
      </c>
      <c r="BJ54" s="4">
        <v>0</v>
      </c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5"/>
      <c r="BX54" s="4"/>
      <c r="BY54" s="4"/>
      <c r="BZ54" s="4"/>
      <c r="CA54" s="4"/>
      <c r="CB54" s="4"/>
      <c r="CC54" s="4"/>
      <c r="CD54" s="4"/>
    </row>
    <row r="55" spans="1:82" x14ac:dyDescent="0.25">
      <c r="A55" s="4">
        <v>54</v>
      </c>
      <c r="B55" s="4" t="s">
        <v>182</v>
      </c>
      <c r="C55" s="4" t="s">
        <v>185</v>
      </c>
      <c r="D55" s="4" t="s">
        <v>184</v>
      </c>
      <c r="E55" s="5" t="s">
        <v>184</v>
      </c>
      <c r="F55" s="5" t="s">
        <v>184</v>
      </c>
      <c r="G55" s="4" t="s">
        <v>184</v>
      </c>
      <c r="H55" s="5">
        <v>44</v>
      </c>
      <c r="I55" s="5" t="s">
        <v>80</v>
      </c>
      <c r="J55" s="5"/>
      <c r="K55" s="5"/>
      <c r="L55" s="6">
        <v>38622</v>
      </c>
      <c r="M55" s="6">
        <v>38614</v>
      </c>
      <c r="N55" s="4"/>
      <c r="O55" s="4">
        <v>166</v>
      </c>
      <c r="P55" s="4">
        <v>8500</v>
      </c>
      <c r="Q55" s="4">
        <v>291</v>
      </c>
      <c r="R55" s="4">
        <v>55</v>
      </c>
      <c r="S55" s="4">
        <v>85</v>
      </c>
      <c r="T55" s="4">
        <v>45</v>
      </c>
      <c r="U55" s="4">
        <v>181</v>
      </c>
      <c r="V55" s="41">
        <v>1.7</v>
      </c>
      <c r="W55" s="4">
        <v>94</v>
      </c>
      <c r="X55" s="4">
        <v>13.6</v>
      </c>
      <c r="Y55" s="4"/>
      <c r="Z55" s="7">
        <v>1.2363636363636363</v>
      </c>
      <c r="AA55" s="4">
        <v>47</v>
      </c>
      <c r="AB55" s="4">
        <v>1</v>
      </c>
      <c r="AC55" s="4">
        <v>144</v>
      </c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>
        <v>0</v>
      </c>
      <c r="BH55" s="4">
        <v>0</v>
      </c>
      <c r="BI55" s="4">
        <v>0</v>
      </c>
      <c r="BJ55" s="4">
        <v>0</v>
      </c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5"/>
      <c r="BX55" s="4"/>
      <c r="BY55" s="4"/>
      <c r="BZ55" s="4"/>
      <c r="CA55" s="4"/>
      <c r="CB55" s="4"/>
      <c r="CC55" s="4"/>
      <c r="CD55" s="4"/>
    </row>
    <row r="56" spans="1:82" x14ac:dyDescent="0.25">
      <c r="A56" s="4">
        <v>55</v>
      </c>
      <c r="B56" s="4" t="s">
        <v>182</v>
      </c>
      <c r="C56" s="4" t="s">
        <v>186</v>
      </c>
      <c r="D56" s="4" t="s">
        <v>184</v>
      </c>
      <c r="E56" s="5" t="s">
        <v>184</v>
      </c>
      <c r="F56" s="5" t="s">
        <v>184</v>
      </c>
      <c r="G56" s="4" t="s">
        <v>184</v>
      </c>
      <c r="H56" s="5">
        <v>67</v>
      </c>
      <c r="I56" s="5" t="s">
        <v>85</v>
      </c>
      <c r="J56" s="5"/>
      <c r="K56" s="5"/>
      <c r="L56" s="6">
        <v>38446</v>
      </c>
      <c r="M56" s="6">
        <v>38441</v>
      </c>
      <c r="N56" s="4"/>
      <c r="O56" s="4">
        <v>142</v>
      </c>
      <c r="P56" s="4">
        <v>5900</v>
      </c>
      <c r="Q56" s="4">
        <v>244</v>
      </c>
      <c r="R56" s="4">
        <v>89</v>
      </c>
      <c r="S56" s="4">
        <v>110</v>
      </c>
      <c r="T56" s="4">
        <v>58</v>
      </c>
      <c r="U56" s="4">
        <v>320</v>
      </c>
      <c r="V56" s="41">
        <v>0.8</v>
      </c>
      <c r="W56" s="4">
        <v>89</v>
      </c>
      <c r="X56" s="4">
        <v>13.8</v>
      </c>
      <c r="Y56" s="4"/>
      <c r="Z56" s="7">
        <v>1.2545454545454546</v>
      </c>
      <c r="AA56" s="4">
        <v>41</v>
      </c>
      <c r="AB56" s="4">
        <v>1</v>
      </c>
      <c r="AC56" s="4">
        <v>143</v>
      </c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>
        <v>0</v>
      </c>
      <c r="BH56" s="4">
        <v>0</v>
      </c>
      <c r="BI56" s="4">
        <v>0</v>
      </c>
      <c r="BJ56" s="4">
        <v>0</v>
      </c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5"/>
      <c r="BX56" s="4"/>
      <c r="BY56" s="4"/>
      <c r="BZ56" s="4"/>
      <c r="CA56" s="4"/>
      <c r="CB56" s="4"/>
      <c r="CC56" s="4"/>
      <c r="CD56" s="4"/>
    </row>
    <row r="57" spans="1:82" x14ac:dyDescent="0.25">
      <c r="A57" s="4">
        <v>56</v>
      </c>
      <c r="B57" s="4" t="s">
        <v>182</v>
      </c>
      <c r="C57" s="4" t="s">
        <v>187</v>
      </c>
      <c r="D57" s="4" t="s">
        <v>184</v>
      </c>
      <c r="E57" s="5" t="s">
        <v>184</v>
      </c>
      <c r="F57" s="5" t="s">
        <v>184</v>
      </c>
      <c r="G57" s="4" t="s">
        <v>184</v>
      </c>
      <c r="H57" s="5">
        <v>61</v>
      </c>
      <c r="I57" s="5" t="s">
        <v>85</v>
      </c>
      <c r="J57" s="5"/>
      <c r="K57" s="5"/>
      <c r="L57" s="6">
        <v>38665</v>
      </c>
      <c r="M57" s="6">
        <v>38691</v>
      </c>
      <c r="N57" s="4"/>
      <c r="O57" s="4">
        <v>142</v>
      </c>
      <c r="P57" s="4">
        <v>6540</v>
      </c>
      <c r="Q57" s="4">
        <v>146</v>
      </c>
      <c r="R57" s="4">
        <v>123</v>
      </c>
      <c r="S57" s="4">
        <v>141</v>
      </c>
      <c r="T57" s="4">
        <v>105</v>
      </c>
      <c r="U57" s="4">
        <v>260</v>
      </c>
      <c r="V57" s="41">
        <v>1</v>
      </c>
      <c r="W57" s="4">
        <v>76</v>
      </c>
      <c r="X57" s="4">
        <v>15.4</v>
      </c>
      <c r="Y57" s="4"/>
      <c r="Z57" s="7">
        <v>1.4000000000000001</v>
      </c>
      <c r="AA57" s="4">
        <v>39</v>
      </c>
      <c r="AB57" s="4">
        <v>0.9</v>
      </c>
      <c r="AC57" s="4">
        <v>138</v>
      </c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>
        <v>0</v>
      </c>
      <c r="BH57" s="4">
        <v>0</v>
      </c>
      <c r="BI57" s="4">
        <v>0</v>
      </c>
      <c r="BJ57" s="4">
        <v>0</v>
      </c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5"/>
      <c r="BX57" s="4"/>
      <c r="BY57" s="4"/>
      <c r="BZ57" s="4"/>
      <c r="CA57" s="4"/>
      <c r="CB57" s="4"/>
      <c r="CC57" s="4"/>
      <c r="CD57" s="4"/>
    </row>
    <row r="58" spans="1:82" x14ac:dyDescent="0.25">
      <c r="A58" s="4">
        <v>57</v>
      </c>
      <c r="B58" s="4" t="s">
        <v>182</v>
      </c>
      <c r="C58" s="4" t="s">
        <v>188</v>
      </c>
      <c r="D58" s="4" t="s">
        <v>184</v>
      </c>
      <c r="E58" s="5" t="s">
        <v>184</v>
      </c>
      <c r="F58" s="5" t="s">
        <v>184</v>
      </c>
      <c r="G58" s="4" t="s">
        <v>184</v>
      </c>
      <c r="H58" s="5">
        <v>50</v>
      </c>
      <c r="I58" s="5" t="s">
        <v>85</v>
      </c>
      <c r="J58" s="5"/>
      <c r="K58" s="5"/>
      <c r="L58" s="6">
        <v>38446</v>
      </c>
      <c r="M58" s="6">
        <v>38504</v>
      </c>
      <c r="N58" s="4"/>
      <c r="O58" s="4">
        <v>135</v>
      </c>
      <c r="P58" s="4">
        <v>4010</v>
      </c>
      <c r="Q58" s="4">
        <v>181</v>
      </c>
      <c r="R58" s="4">
        <v>42</v>
      </c>
      <c r="S58" s="4">
        <v>40</v>
      </c>
      <c r="T58" s="4">
        <v>10</v>
      </c>
      <c r="U58" s="4">
        <v>99</v>
      </c>
      <c r="V58" s="41">
        <v>0.6</v>
      </c>
      <c r="W58" s="4">
        <v>91</v>
      </c>
      <c r="X58" s="4">
        <v>12</v>
      </c>
      <c r="Y58" s="4"/>
      <c r="Z58" s="7">
        <v>1.0909090909090908</v>
      </c>
      <c r="AA58" s="4"/>
      <c r="AB58" s="4">
        <v>0.9</v>
      </c>
      <c r="AC58" s="4">
        <v>140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>
        <v>0</v>
      </c>
      <c r="BH58" s="4">
        <v>0</v>
      </c>
      <c r="BI58" s="4">
        <v>0</v>
      </c>
      <c r="BJ58" s="4">
        <v>0</v>
      </c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5"/>
      <c r="BX58" s="4"/>
      <c r="BY58" s="4"/>
      <c r="BZ58" s="4"/>
      <c r="CA58" s="4"/>
      <c r="CB58" s="4"/>
      <c r="CC58" s="4"/>
      <c r="CD58" s="4"/>
    </row>
    <row r="59" spans="1:82" x14ac:dyDescent="0.25">
      <c r="A59" s="4">
        <v>58</v>
      </c>
      <c r="B59" s="4" t="s">
        <v>182</v>
      </c>
      <c r="C59" s="4" t="s">
        <v>189</v>
      </c>
      <c r="D59" s="4" t="s">
        <v>184</v>
      </c>
      <c r="E59" s="5" t="s">
        <v>184</v>
      </c>
      <c r="F59" s="5" t="s">
        <v>184</v>
      </c>
      <c r="G59" s="4" t="s">
        <v>184</v>
      </c>
      <c r="H59" s="5">
        <v>46</v>
      </c>
      <c r="I59" s="5" t="s">
        <v>80</v>
      </c>
      <c r="J59" s="5"/>
      <c r="K59" s="5"/>
      <c r="L59" s="6">
        <v>38742</v>
      </c>
      <c r="M59" s="6">
        <v>38810</v>
      </c>
      <c r="N59" s="4"/>
      <c r="O59" s="4">
        <v>153</v>
      </c>
      <c r="P59" s="4">
        <v>6490</v>
      </c>
      <c r="Q59" s="4">
        <v>153</v>
      </c>
      <c r="R59" s="4">
        <v>39</v>
      </c>
      <c r="S59" s="4">
        <v>88</v>
      </c>
      <c r="T59" s="4">
        <v>37</v>
      </c>
      <c r="U59" s="4">
        <v>168</v>
      </c>
      <c r="V59" s="41">
        <v>0.6</v>
      </c>
      <c r="W59" s="4">
        <v>100</v>
      </c>
      <c r="X59" s="4">
        <v>12.4</v>
      </c>
      <c r="Y59" s="4"/>
      <c r="Z59" s="7">
        <v>1.1272727272727272</v>
      </c>
      <c r="AA59" s="4">
        <v>48</v>
      </c>
      <c r="AB59" s="4">
        <v>1</v>
      </c>
      <c r="AC59" s="4">
        <v>140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>
        <v>0</v>
      </c>
      <c r="BH59" s="4">
        <v>0</v>
      </c>
      <c r="BI59" s="4">
        <v>0</v>
      </c>
      <c r="BJ59" s="4">
        <v>0</v>
      </c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5"/>
      <c r="BX59" s="4"/>
      <c r="BY59" s="4"/>
      <c r="BZ59" s="4"/>
      <c r="CA59" s="4"/>
      <c r="CB59" s="4"/>
      <c r="CC59" s="4"/>
      <c r="CD59" s="4"/>
    </row>
    <row r="60" spans="1:82" x14ac:dyDescent="0.25">
      <c r="A60" s="4">
        <v>59</v>
      </c>
      <c r="B60" s="4" t="s">
        <v>182</v>
      </c>
      <c r="C60" s="4" t="s">
        <v>190</v>
      </c>
      <c r="D60" s="4" t="s">
        <v>184</v>
      </c>
      <c r="E60" s="5" t="s">
        <v>184</v>
      </c>
      <c r="F60" s="5" t="s">
        <v>184</v>
      </c>
      <c r="G60" s="4" t="s">
        <v>184</v>
      </c>
      <c r="H60" s="5">
        <v>35</v>
      </c>
      <c r="I60" s="5" t="s">
        <v>80</v>
      </c>
      <c r="J60" s="5"/>
      <c r="K60" s="5"/>
      <c r="L60" s="6">
        <v>38419</v>
      </c>
      <c r="M60" s="6">
        <v>38808</v>
      </c>
      <c r="N60" s="4"/>
      <c r="O60" s="4">
        <v>164</v>
      </c>
      <c r="P60" s="4">
        <v>6680</v>
      </c>
      <c r="Q60" s="4">
        <v>220</v>
      </c>
      <c r="R60" s="4">
        <v>54</v>
      </c>
      <c r="S60" s="4">
        <v>122</v>
      </c>
      <c r="T60" s="4">
        <v>44</v>
      </c>
      <c r="U60" s="4">
        <v>156</v>
      </c>
      <c r="V60" s="41">
        <v>0.6</v>
      </c>
      <c r="W60" s="4">
        <v>92</v>
      </c>
      <c r="X60" s="4">
        <v>13.6</v>
      </c>
      <c r="Y60" s="4"/>
      <c r="Z60" s="7">
        <v>1.2363636363636363</v>
      </c>
      <c r="AA60" s="4"/>
      <c r="AB60" s="4">
        <v>1.1000000000000001</v>
      </c>
      <c r="AC60" s="4">
        <v>143</v>
      </c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>
        <v>0</v>
      </c>
      <c r="BH60" s="4">
        <v>0</v>
      </c>
      <c r="BI60" s="4">
        <v>0</v>
      </c>
      <c r="BJ60" s="4">
        <v>0</v>
      </c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5"/>
      <c r="BX60" s="4"/>
      <c r="BY60" s="4"/>
      <c r="BZ60" s="4"/>
      <c r="CA60" s="4"/>
      <c r="CB60" s="4"/>
      <c r="CC60" s="4"/>
      <c r="CD60" s="4"/>
    </row>
    <row r="61" spans="1:82" x14ac:dyDescent="0.25">
      <c r="A61" s="4">
        <v>60</v>
      </c>
      <c r="B61" s="4" t="s">
        <v>182</v>
      </c>
      <c r="C61" s="4" t="s">
        <v>191</v>
      </c>
      <c r="D61" s="4" t="s">
        <v>184</v>
      </c>
      <c r="E61" s="5" t="s">
        <v>184</v>
      </c>
      <c r="F61" s="5" t="s">
        <v>184</v>
      </c>
      <c r="G61" s="4" t="s">
        <v>184</v>
      </c>
      <c r="H61" s="5">
        <v>40</v>
      </c>
      <c r="I61" s="5" t="s">
        <v>85</v>
      </c>
      <c r="J61" s="5"/>
      <c r="K61" s="5"/>
      <c r="L61" s="6">
        <v>38506</v>
      </c>
      <c r="M61" s="6">
        <v>38495</v>
      </c>
      <c r="N61" s="4"/>
      <c r="O61" s="4">
        <v>142</v>
      </c>
      <c r="P61" s="4">
        <v>5760</v>
      </c>
      <c r="Q61" s="4">
        <v>209</v>
      </c>
      <c r="R61" s="4">
        <v>54</v>
      </c>
      <c r="S61" s="4">
        <v>85</v>
      </c>
      <c r="T61" s="4">
        <v>25</v>
      </c>
      <c r="U61" s="4">
        <v>122</v>
      </c>
      <c r="V61" s="41">
        <v>0.7</v>
      </c>
      <c r="W61" s="4">
        <v>99</v>
      </c>
      <c r="X61" s="4">
        <v>13.1</v>
      </c>
      <c r="Y61" s="4"/>
      <c r="Z61" s="7">
        <v>1.1909090909090909</v>
      </c>
      <c r="AA61" s="4">
        <v>44</v>
      </c>
      <c r="AB61" s="4">
        <v>1</v>
      </c>
      <c r="AC61" s="4">
        <v>142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>
        <v>0</v>
      </c>
      <c r="BH61" s="4">
        <v>0</v>
      </c>
      <c r="BI61" s="4">
        <v>0</v>
      </c>
      <c r="BJ61" s="4">
        <v>0</v>
      </c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5"/>
      <c r="BX61" s="4"/>
      <c r="BY61" s="4"/>
      <c r="BZ61" s="4"/>
      <c r="CA61" s="4"/>
      <c r="CB61" s="4"/>
      <c r="CC61" s="4"/>
      <c r="CD61" s="4"/>
    </row>
    <row r="62" spans="1:82" x14ac:dyDescent="0.25">
      <c r="A62" s="4">
        <v>61</v>
      </c>
      <c r="B62" s="4" t="s">
        <v>182</v>
      </c>
      <c r="C62" s="4" t="s">
        <v>192</v>
      </c>
      <c r="D62" s="4" t="s">
        <v>184</v>
      </c>
      <c r="E62" s="5" t="s">
        <v>184</v>
      </c>
      <c r="F62" s="5" t="s">
        <v>184</v>
      </c>
      <c r="G62" s="4" t="s">
        <v>184</v>
      </c>
      <c r="H62" s="5">
        <v>45</v>
      </c>
      <c r="I62" s="5" t="s">
        <v>80</v>
      </c>
      <c r="J62" s="5"/>
      <c r="K62" s="5"/>
      <c r="L62" s="6">
        <v>38474</v>
      </c>
      <c r="M62" s="6">
        <v>38498</v>
      </c>
      <c r="N62" s="4"/>
      <c r="O62" s="4">
        <v>169</v>
      </c>
      <c r="P62" s="4">
        <v>6300</v>
      </c>
      <c r="Q62" s="4">
        <v>245</v>
      </c>
      <c r="R62" s="4">
        <v>33</v>
      </c>
      <c r="S62" s="4">
        <v>41</v>
      </c>
      <c r="T62" s="4">
        <v>36</v>
      </c>
      <c r="U62" s="4">
        <v>174</v>
      </c>
      <c r="V62" s="41">
        <v>1.4</v>
      </c>
      <c r="W62" s="4">
        <v>100</v>
      </c>
      <c r="X62" s="4">
        <v>12.9</v>
      </c>
      <c r="Y62" s="4"/>
      <c r="Z62" s="7">
        <v>1.1727272727272728</v>
      </c>
      <c r="AA62" s="4">
        <v>44</v>
      </c>
      <c r="AB62" s="4">
        <v>1.1000000000000001</v>
      </c>
      <c r="AC62" s="4">
        <v>142</v>
      </c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>
        <v>0</v>
      </c>
      <c r="BH62" s="4">
        <v>0</v>
      </c>
      <c r="BI62" s="4">
        <v>0</v>
      </c>
      <c r="BJ62" s="4">
        <v>0</v>
      </c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5"/>
      <c r="BX62" s="4"/>
      <c r="BY62" s="4"/>
      <c r="BZ62" s="4"/>
      <c r="CA62" s="4"/>
      <c r="CB62" s="4"/>
      <c r="CC62" s="4"/>
      <c r="CD62" s="4"/>
    </row>
    <row r="63" spans="1:82" x14ac:dyDescent="0.25">
      <c r="A63" s="4">
        <v>62</v>
      </c>
      <c r="B63" s="4" t="s">
        <v>182</v>
      </c>
      <c r="C63" s="4" t="s">
        <v>193</v>
      </c>
      <c r="D63" s="4" t="s">
        <v>184</v>
      </c>
      <c r="E63" s="5" t="s">
        <v>184</v>
      </c>
      <c r="F63" s="5" t="s">
        <v>184</v>
      </c>
      <c r="G63" s="4" t="s">
        <v>184</v>
      </c>
      <c r="H63" s="5">
        <v>46</v>
      </c>
      <c r="I63" s="5" t="s">
        <v>80</v>
      </c>
      <c r="J63" s="5"/>
      <c r="K63" s="5"/>
      <c r="L63" s="6">
        <v>38749</v>
      </c>
      <c r="M63" s="6">
        <v>38756</v>
      </c>
      <c r="N63" s="4"/>
      <c r="O63" s="4">
        <v>154</v>
      </c>
      <c r="P63" s="4">
        <v>6100</v>
      </c>
      <c r="Q63" s="4">
        <v>255</v>
      </c>
      <c r="R63" s="4">
        <v>44</v>
      </c>
      <c r="S63" s="4">
        <v>73</v>
      </c>
      <c r="T63" s="4">
        <v>22</v>
      </c>
      <c r="U63" s="4">
        <v>156</v>
      </c>
      <c r="V63" s="41">
        <v>0.6</v>
      </c>
      <c r="W63" s="4">
        <v>97</v>
      </c>
      <c r="X63" s="4">
        <v>13.5</v>
      </c>
      <c r="Y63" s="4"/>
      <c r="Z63" s="7">
        <v>1.2272727272727273</v>
      </c>
      <c r="AA63" s="4">
        <v>44</v>
      </c>
      <c r="AB63" s="4">
        <v>1.1000000000000001</v>
      </c>
      <c r="AC63" s="4">
        <v>145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>
        <v>0</v>
      </c>
      <c r="BH63" s="4">
        <v>0</v>
      </c>
      <c r="BI63" s="4">
        <v>0</v>
      </c>
      <c r="BJ63" s="4">
        <v>0</v>
      </c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5"/>
      <c r="BX63" s="4"/>
      <c r="BY63" s="4"/>
      <c r="BZ63" s="4"/>
      <c r="CA63" s="4"/>
      <c r="CB63" s="4"/>
      <c r="CC63" s="4"/>
      <c r="CD63" s="4"/>
    </row>
    <row r="64" spans="1:82" x14ac:dyDescent="0.25">
      <c r="A64" s="4">
        <v>63</v>
      </c>
      <c r="B64" s="4" t="s">
        <v>194</v>
      </c>
      <c r="C64" s="4" t="s">
        <v>195</v>
      </c>
      <c r="D64" s="4" t="s">
        <v>196</v>
      </c>
      <c r="E64" s="5" t="s">
        <v>196</v>
      </c>
      <c r="F64" s="5" t="s">
        <v>196</v>
      </c>
      <c r="G64" s="4" t="s">
        <v>196</v>
      </c>
      <c r="H64" s="5">
        <v>53</v>
      </c>
      <c r="I64" s="5" t="s">
        <v>85</v>
      </c>
      <c r="J64" s="5"/>
      <c r="K64" s="5"/>
      <c r="L64" s="6">
        <v>39016</v>
      </c>
      <c r="M64" s="6">
        <v>38980</v>
      </c>
      <c r="N64" s="4"/>
      <c r="O64" s="4">
        <v>138</v>
      </c>
      <c r="P64" s="4">
        <v>6660</v>
      </c>
      <c r="Q64" s="4">
        <v>280</v>
      </c>
      <c r="R64" s="4">
        <v>28</v>
      </c>
      <c r="S64" s="4">
        <v>40</v>
      </c>
      <c r="T64" s="4">
        <v>29</v>
      </c>
      <c r="U64" s="4">
        <v>195</v>
      </c>
      <c r="V64" s="41">
        <v>0.8</v>
      </c>
      <c r="W64" s="4">
        <v>93</v>
      </c>
      <c r="X64" s="4">
        <v>13.5</v>
      </c>
      <c r="Y64" s="4"/>
      <c r="Z64" s="12">
        <v>1.2272727272727273</v>
      </c>
      <c r="AA64" s="4">
        <v>45</v>
      </c>
      <c r="AB64" s="4">
        <v>0.85</v>
      </c>
      <c r="AC64" s="4">
        <v>143</v>
      </c>
      <c r="AD64" s="4"/>
      <c r="AE64" s="4"/>
      <c r="AF64" s="7">
        <v>45.56</v>
      </c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>
        <v>0</v>
      </c>
      <c r="BH64" s="4">
        <v>0</v>
      </c>
      <c r="BI64" s="4">
        <v>0</v>
      </c>
      <c r="BJ64" s="4">
        <v>0</v>
      </c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5"/>
      <c r="BX64" s="4"/>
      <c r="BY64" s="4"/>
      <c r="BZ64" s="4"/>
      <c r="CA64" s="4"/>
      <c r="CB64" s="4"/>
      <c r="CC64" s="4"/>
      <c r="CD64" s="4"/>
    </row>
    <row r="65" spans="1:82" x14ac:dyDescent="0.25">
      <c r="A65" s="4">
        <v>64</v>
      </c>
      <c r="B65" s="4" t="s">
        <v>194</v>
      </c>
      <c r="C65" s="4" t="s">
        <v>197</v>
      </c>
      <c r="D65" s="4" t="s">
        <v>196</v>
      </c>
      <c r="E65" s="5" t="s">
        <v>196</v>
      </c>
      <c r="F65" s="5" t="s">
        <v>196</v>
      </c>
      <c r="G65" s="4" t="s">
        <v>196</v>
      </c>
      <c r="H65" s="5">
        <v>52</v>
      </c>
      <c r="I65" s="5" t="s">
        <v>85</v>
      </c>
      <c r="J65" s="5"/>
      <c r="K65" s="5"/>
      <c r="L65" s="6">
        <v>38735</v>
      </c>
      <c r="M65" s="6">
        <v>38698</v>
      </c>
      <c r="N65" s="4"/>
      <c r="O65" s="4">
        <v>146</v>
      </c>
      <c r="P65" s="4">
        <v>8500</v>
      </c>
      <c r="Q65" s="4">
        <v>259</v>
      </c>
      <c r="R65" s="4">
        <v>24</v>
      </c>
      <c r="S65" s="4">
        <v>52</v>
      </c>
      <c r="T65" s="4">
        <v>27</v>
      </c>
      <c r="U65" s="4">
        <v>182</v>
      </c>
      <c r="V65" s="41">
        <v>0.4</v>
      </c>
      <c r="W65" s="4">
        <v>99</v>
      </c>
      <c r="X65" s="4">
        <v>13.4</v>
      </c>
      <c r="Y65" s="4"/>
      <c r="Z65" s="12">
        <v>1.2181818181818183</v>
      </c>
      <c r="AA65" s="4">
        <v>46</v>
      </c>
      <c r="AB65" s="4">
        <v>1.1000000000000001</v>
      </c>
      <c r="AC65" s="4">
        <v>140</v>
      </c>
      <c r="AD65" s="4"/>
      <c r="AE65" s="4"/>
      <c r="AF65" s="7">
        <v>45.42</v>
      </c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>
        <v>0</v>
      </c>
      <c r="BH65" s="4">
        <v>0</v>
      </c>
      <c r="BI65" s="4">
        <v>0</v>
      </c>
      <c r="BJ65" s="4">
        <v>0</v>
      </c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5"/>
      <c r="BX65" s="4"/>
      <c r="BY65" s="4"/>
      <c r="BZ65" s="4"/>
      <c r="CA65" s="4"/>
      <c r="CB65" s="4"/>
      <c r="CC65" s="4"/>
      <c r="CD65" s="4"/>
    </row>
    <row r="66" spans="1:82" x14ac:dyDescent="0.25">
      <c r="A66" s="4">
        <v>65</v>
      </c>
      <c r="B66" s="4" t="s">
        <v>194</v>
      </c>
      <c r="C66" s="4" t="s">
        <v>198</v>
      </c>
      <c r="D66" s="4" t="s">
        <v>196</v>
      </c>
      <c r="E66" s="5" t="s">
        <v>196</v>
      </c>
      <c r="F66" s="5" t="s">
        <v>196</v>
      </c>
      <c r="G66" s="4" t="s">
        <v>196</v>
      </c>
      <c r="H66" s="5">
        <v>65</v>
      </c>
      <c r="I66" s="5" t="s">
        <v>85</v>
      </c>
      <c r="J66" s="5"/>
      <c r="K66" s="5"/>
      <c r="L66" s="6">
        <v>38750</v>
      </c>
      <c r="M66" s="6">
        <v>38750</v>
      </c>
      <c r="N66" s="4"/>
      <c r="O66" s="4">
        <v>150</v>
      </c>
      <c r="P66" s="4">
        <v>13400</v>
      </c>
      <c r="Q66" s="4">
        <v>178</v>
      </c>
      <c r="R66" s="4">
        <v>65</v>
      </c>
      <c r="S66" s="4">
        <v>117</v>
      </c>
      <c r="T66" s="4"/>
      <c r="U66" s="4"/>
      <c r="V66" s="41">
        <v>0.63</v>
      </c>
      <c r="W66" s="4">
        <v>100</v>
      </c>
      <c r="X66" s="4">
        <v>11.7</v>
      </c>
      <c r="Y66" s="4"/>
      <c r="Z66" s="12">
        <v>1.0636363636363635</v>
      </c>
      <c r="AA66" s="4"/>
      <c r="AB66" s="4">
        <v>1.2</v>
      </c>
      <c r="AC66" s="4">
        <v>141</v>
      </c>
      <c r="AD66" s="4"/>
      <c r="AE66" s="4"/>
      <c r="AF66" s="7">
        <v>51.3</v>
      </c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>
        <v>0</v>
      </c>
      <c r="BH66" s="4">
        <v>0</v>
      </c>
      <c r="BI66" s="4">
        <v>0</v>
      </c>
      <c r="BJ66" s="4">
        <v>0</v>
      </c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5"/>
      <c r="BX66" s="4"/>
      <c r="BY66" s="4"/>
      <c r="BZ66" s="4"/>
      <c r="CA66" s="4"/>
      <c r="CB66" s="4"/>
      <c r="CC66" s="4"/>
      <c r="CD66" s="4"/>
    </row>
    <row r="67" spans="1:82" x14ac:dyDescent="0.25">
      <c r="A67" s="4">
        <v>66</v>
      </c>
      <c r="B67" s="4" t="s">
        <v>194</v>
      </c>
      <c r="C67" s="4" t="s">
        <v>199</v>
      </c>
      <c r="D67" s="4" t="s">
        <v>196</v>
      </c>
      <c r="E67" s="5" t="s">
        <v>196</v>
      </c>
      <c r="F67" s="5" t="s">
        <v>196</v>
      </c>
      <c r="G67" s="4" t="s">
        <v>196</v>
      </c>
      <c r="H67" s="5">
        <v>37</v>
      </c>
      <c r="I67" s="5" t="s">
        <v>85</v>
      </c>
      <c r="J67" s="5"/>
      <c r="K67" s="5"/>
      <c r="L67" s="6">
        <v>38870</v>
      </c>
      <c r="M67" s="6">
        <v>38784</v>
      </c>
      <c r="N67" s="4"/>
      <c r="O67" s="4">
        <v>142</v>
      </c>
      <c r="P67" s="4">
        <v>8000</v>
      </c>
      <c r="Q67" s="4">
        <v>209</v>
      </c>
      <c r="R67" s="4">
        <v>32</v>
      </c>
      <c r="S67" s="4">
        <v>29</v>
      </c>
      <c r="T67" s="4">
        <v>148</v>
      </c>
      <c r="U67" s="4">
        <v>278</v>
      </c>
      <c r="V67" s="41">
        <v>0.9</v>
      </c>
      <c r="W67" s="4">
        <v>100</v>
      </c>
      <c r="X67" s="4">
        <v>12.7</v>
      </c>
      <c r="Y67" s="4"/>
      <c r="Z67" s="12">
        <v>1.1545454545454545</v>
      </c>
      <c r="AA67" s="4">
        <v>45</v>
      </c>
      <c r="AB67" s="4">
        <v>1</v>
      </c>
      <c r="AC67" s="4">
        <v>138</v>
      </c>
      <c r="AD67" s="4"/>
      <c r="AE67" s="4"/>
      <c r="AF67" s="7">
        <v>43.97</v>
      </c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>
        <v>0</v>
      </c>
      <c r="BH67" s="4">
        <v>0</v>
      </c>
      <c r="BI67" s="4">
        <v>0</v>
      </c>
      <c r="BJ67" s="4">
        <v>0</v>
      </c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5"/>
      <c r="BX67" s="4"/>
      <c r="BY67" s="4"/>
      <c r="BZ67" s="4"/>
      <c r="CA67" s="4"/>
      <c r="CB67" s="4"/>
      <c r="CC67" s="4"/>
      <c r="CD67" s="4"/>
    </row>
    <row r="68" spans="1:82" x14ac:dyDescent="0.25">
      <c r="A68" s="4">
        <v>67</v>
      </c>
      <c r="B68" s="4" t="s">
        <v>194</v>
      </c>
      <c r="C68" s="4" t="s">
        <v>200</v>
      </c>
      <c r="D68" s="4" t="s">
        <v>196</v>
      </c>
      <c r="E68" s="5" t="s">
        <v>196</v>
      </c>
      <c r="F68" s="5" t="s">
        <v>196</v>
      </c>
      <c r="G68" s="4" t="s">
        <v>196</v>
      </c>
      <c r="H68" s="5">
        <v>42</v>
      </c>
      <c r="I68" s="5" t="s">
        <v>80</v>
      </c>
      <c r="J68" s="5"/>
      <c r="K68" s="5"/>
      <c r="L68" s="6">
        <v>38882</v>
      </c>
      <c r="M68" s="6">
        <v>38804</v>
      </c>
      <c r="N68" s="4"/>
      <c r="O68" s="4">
        <v>144</v>
      </c>
      <c r="P68" s="4">
        <v>8250</v>
      </c>
      <c r="Q68" s="4">
        <v>262</v>
      </c>
      <c r="R68" s="4">
        <v>24</v>
      </c>
      <c r="S68" s="4">
        <v>40</v>
      </c>
      <c r="T68" s="4">
        <v>22</v>
      </c>
      <c r="U68" s="4">
        <v>170</v>
      </c>
      <c r="V68" s="41">
        <v>0.5</v>
      </c>
      <c r="W68" s="4">
        <v>100</v>
      </c>
      <c r="X68" s="4">
        <v>12</v>
      </c>
      <c r="Y68" s="4"/>
      <c r="Z68" s="12">
        <v>1.0909090909090908</v>
      </c>
      <c r="AA68" s="4">
        <v>47</v>
      </c>
      <c r="AB68" s="4">
        <v>1.1000000000000001</v>
      </c>
      <c r="AC68" s="4">
        <v>143</v>
      </c>
      <c r="AD68" s="4"/>
      <c r="AE68" s="4"/>
      <c r="AF68" s="7">
        <v>48.16</v>
      </c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>
        <v>0</v>
      </c>
      <c r="BH68" s="4">
        <v>0</v>
      </c>
      <c r="BI68" s="4">
        <v>0</v>
      </c>
      <c r="BJ68" s="4">
        <v>0</v>
      </c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5"/>
      <c r="BX68" s="4"/>
      <c r="BY68" s="4"/>
      <c r="BZ68" s="4"/>
      <c r="CA68" s="4"/>
      <c r="CB68" s="4"/>
      <c r="CC68" s="4"/>
      <c r="CD68" s="4"/>
    </row>
    <row r="69" spans="1:82" x14ac:dyDescent="0.25">
      <c r="A69" s="4">
        <v>68</v>
      </c>
      <c r="B69" s="4" t="s">
        <v>194</v>
      </c>
      <c r="C69" s="4" t="s">
        <v>201</v>
      </c>
      <c r="D69" s="4" t="s">
        <v>196</v>
      </c>
      <c r="E69" s="5" t="s">
        <v>196</v>
      </c>
      <c r="F69" s="5" t="s">
        <v>196</v>
      </c>
      <c r="G69" s="4" t="s">
        <v>196</v>
      </c>
      <c r="H69" s="5">
        <v>46</v>
      </c>
      <c r="I69" s="5" t="s">
        <v>85</v>
      </c>
      <c r="J69" s="5"/>
      <c r="K69" s="5"/>
      <c r="L69" s="6">
        <v>38888</v>
      </c>
      <c r="M69" s="6">
        <v>38821</v>
      </c>
      <c r="N69" s="4"/>
      <c r="O69" s="4">
        <v>120</v>
      </c>
      <c r="P69" s="4">
        <v>6100</v>
      </c>
      <c r="Q69" s="4">
        <v>399</v>
      </c>
      <c r="R69" s="4">
        <v>28</v>
      </c>
      <c r="S69" s="4">
        <v>23</v>
      </c>
      <c r="T69" s="4">
        <v>19</v>
      </c>
      <c r="U69" s="4">
        <v>178</v>
      </c>
      <c r="V69" s="41">
        <v>0.2</v>
      </c>
      <c r="W69" s="4">
        <v>100</v>
      </c>
      <c r="X69" s="4">
        <v>12.2</v>
      </c>
      <c r="Y69" s="4"/>
      <c r="Z69" s="12">
        <v>1.1090909090909091</v>
      </c>
      <c r="AA69" s="4">
        <v>45</v>
      </c>
      <c r="AB69" s="4">
        <v>0.84</v>
      </c>
      <c r="AC69" s="4">
        <v>136</v>
      </c>
      <c r="AD69" s="4"/>
      <c r="AE69" s="4"/>
      <c r="AF69" s="7">
        <v>45.22</v>
      </c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>
        <v>0</v>
      </c>
      <c r="BH69" s="4">
        <v>0</v>
      </c>
      <c r="BI69" s="4">
        <v>0</v>
      </c>
      <c r="BJ69" s="4">
        <v>0</v>
      </c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5"/>
      <c r="BX69" s="4"/>
      <c r="BY69" s="4"/>
      <c r="BZ69" s="4"/>
      <c r="CA69" s="4"/>
      <c r="CB69" s="4"/>
      <c r="CC69" s="4"/>
      <c r="CD69" s="4"/>
    </row>
    <row r="70" spans="1:82" x14ac:dyDescent="0.25">
      <c r="A70" s="4">
        <v>69</v>
      </c>
      <c r="B70" s="4" t="s">
        <v>194</v>
      </c>
      <c r="C70" s="4" t="s">
        <v>202</v>
      </c>
      <c r="D70" s="4" t="s">
        <v>196</v>
      </c>
      <c r="E70" s="5" t="s">
        <v>196</v>
      </c>
      <c r="F70" s="5" t="s">
        <v>196</v>
      </c>
      <c r="G70" s="4" t="s">
        <v>196</v>
      </c>
      <c r="H70" s="5">
        <v>47</v>
      </c>
      <c r="I70" s="5" t="s">
        <v>85</v>
      </c>
      <c r="J70" s="5"/>
      <c r="K70" s="5"/>
      <c r="L70" s="6">
        <v>38918</v>
      </c>
      <c r="M70" s="6">
        <v>38919</v>
      </c>
      <c r="N70" s="4"/>
      <c r="O70" s="4">
        <v>96</v>
      </c>
      <c r="P70" s="4">
        <v>10700</v>
      </c>
      <c r="Q70" s="4">
        <v>262</v>
      </c>
      <c r="R70" s="4">
        <v>34</v>
      </c>
      <c r="S70" s="4">
        <v>37</v>
      </c>
      <c r="T70" s="4">
        <v>17</v>
      </c>
      <c r="U70" s="4">
        <v>121</v>
      </c>
      <c r="V70" s="41">
        <v>0.4</v>
      </c>
      <c r="W70" s="4">
        <v>86</v>
      </c>
      <c r="X70" s="4">
        <v>14</v>
      </c>
      <c r="Y70" s="4"/>
      <c r="Z70" s="12">
        <v>1.2727272727272727</v>
      </c>
      <c r="AA70" s="4">
        <v>29</v>
      </c>
      <c r="AB70" s="4">
        <v>0.67</v>
      </c>
      <c r="AC70" s="4">
        <v>140</v>
      </c>
      <c r="AD70" s="4"/>
      <c r="AE70" s="4"/>
      <c r="AF70" s="7">
        <v>66.67</v>
      </c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>
        <v>0</v>
      </c>
      <c r="BH70" s="4">
        <v>0</v>
      </c>
      <c r="BI70" s="4">
        <v>0</v>
      </c>
      <c r="BJ70" s="4">
        <v>0</v>
      </c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5"/>
      <c r="BX70" s="4"/>
      <c r="BY70" s="4"/>
      <c r="BZ70" s="4"/>
      <c r="CA70" s="4"/>
      <c r="CB70" s="4"/>
      <c r="CC70" s="4"/>
      <c r="CD70" s="4"/>
    </row>
    <row r="71" spans="1:82" x14ac:dyDescent="0.25">
      <c r="A71" s="4">
        <v>70</v>
      </c>
      <c r="B71" s="4" t="s">
        <v>194</v>
      </c>
      <c r="C71" s="4" t="s">
        <v>203</v>
      </c>
      <c r="D71" s="4" t="s">
        <v>196</v>
      </c>
      <c r="E71" s="5" t="s">
        <v>196</v>
      </c>
      <c r="F71" s="5" t="s">
        <v>196</v>
      </c>
      <c r="G71" s="4" t="s">
        <v>196</v>
      </c>
      <c r="H71" s="5">
        <v>53</v>
      </c>
      <c r="I71" s="5" t="s">
        <v>80</v>
      </c>
      <c r="J71" s="5"/>
      <c r="K71" s="5"/>
      <c r="L71" s="6">
        <v>38644</v>
      </c>
      <c r="M71" s="6">
        <v>38512</v>
      </c>
      <c r="N71" s="4"/>
      <c r="O71" s="4">
        <v>150</v>
      </c>
      <c r="P71" s="4">
        <v>7500</v>
      </c>
      <c r="Q71" s="4">
        <v>389</v>
      </c>
      <c r="R71" s="4">
        <v>37</v>
      </c>
      <c r="S71" s="4">
        <v>42</v>
      </c>
      <c r="T71" s="4">
        <v>31</v>
      </c>
      <c r="U71" s="4">
        <v>183</v>
      </c>
      <c r="V71" s="41">
        <v>0.7</v>
      </c>
      <c r="W71" s="4">
        <v>79</v>
      </c>
      <c r="X71" s="4">
        <v>14.8</v>
      </c>
      <c r="Y71" s="4"/>
      <c r="Z71" s="12">
        <v>1.3454545454545455</v>
      </c>
      <c r="AA71" s="4">
        <v>44</v>
      </c>
      <c r="AB71" s="4">
        <v>1.1000000000000001</v>
      </c>
      <c r="AC71" s="4">
        <v>136</v>
      </c>
      <c r="AD71" s="4"/>
      <c r="AE71" s="4"/>
      <c r="AF71" s="7">
        <v>50.65</v>
      </c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>
        <v>0</v>
      </c>
      <c r="BH71" s="4">
        <v>0</v>
      </c>
      <c r="BI71" s="4">
        <v>0</v>
      </c>
      <c r="BJ71" s="4">
        <v>0</v>
      </c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5"/>
      <c r="BX71" s="4"/>
      <c r="BY71" s="4"/>
      <c r="BZ71" s="4"/>
      <c r="CA71" s="4"/>
      <c r="CB71" s="4"/>
      <c r="CC71" s="4"/>
      <c r="CD71" s="4"/>
    </row>
    <row r="72" spans="1:82" x14ac:dyDescent="0.25">
      <c r="A72" s="4">
        <v>71</v>
      </c>
      <c r="B72" s="4" t="s">
        <v>194</v>
      </c>
      <c r="C72" s="4" t="s">
        <v>204</v>
      </c>
      <c r="D72" s="4" t="s">
        <v>196</v>
      </c>
      <c r="E72" s="6" t="s">
        <v>196</v>
      </c>
      <c r="F72" s="6" t="s">
        <v>196</v>
      </c>
      <c r="G72" s="4" t="s">
        <v>196</v>
      </c>
      <c r="H72" s="6"/>
      <c r="I72" s="5"/>
      <c r="J72" s="5"/>
      <c r="K72" s="5"/>
      <c r="L72" s="5"/>
      <c r="M72" s="5"/>
      <c r="N72" s="4"/>
      <c r="O72" s="4"/>
      <c r="P72" s="4"/>
      <c r="Q72" s="4"/>
      <c r="R72" s="4"/>
      <c r="S72" s="4"/>
      <c r="T72" s="4"/>
      <c r="U72" s="4"/>
      <c r="V72" s="41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>
        <v>0</v>
      </c>
      <c r="BH72" s="4">
        <v>0</v>
      </c>
      <c r="BI72" s="4">
        <v>0</v>
      </c>
      <c r="BJ72" s="4">
        <v>0</v>
      </c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5"/>
      <c r="BX72" s="4"/>
      <c r="BY72" s="4"/>
      <c r="BZ72" s="4"/>
      <c r="CA72" s="4"/>
      <c r="CB72" s="4"/>
      <c r="CC72" s="4"/>
      <c r="CD72" s="4"/>
    </row>
    <row r="73" spans="1:82" x14ac:dyDescent="0.25">
      <c r="A73" s="4">
        <v>72</v>
      </c>
      <c r="B73" s="4" t="s">
        <v>205</v>
      </c>
      <c r="C73" s="4" t="s">
        <v>206</v>
      </c>
      <c r="D73" s="4" t="s">
        <v>728</v>
      </c>
      <c r="E73" s="5" t="s">
        <v>728</v>
      </c>
      <c r="F73" s="5" t="s">
        <v>728</v>
      </c>
      <c r="G73" s="4" t="s">
        <v>207</v>
      </c>
      <c r="H73" s="5">
        <v>46</v>
      </c>
      <c r="I73" s="5" t="s">
        <v>80</v>
      </c>
      <c r="J73" s="5"/>
      <c r="K73" s="5"/>
      <c r="L73" s="13">
        <v>38183</v>
      </c>
      <c r="M73" s="13">
        <v>38128</v>
      </c>
      <c r="N73" s="4">
        <v>16</v>
      </c>
      <c r="O73" s="4">
        <v>145</v>
      </c>
      <c r="P73" s="4">
        <v>5500</v>
      </c>
      <c r="Q73" s="4">
        <v>93</v>
      </c>
      <c r="R73" s="4">
        <v>223</v>
      </c>
      <c r="S73" s="4">
        <v>276</v>
      </c>
      <c r="T73" s="4">
        <v>96</v>
      </c>
      <c r="U73" s="4">
        <v>345</v>
      </c>
      <c r="V73" s="41">
        <v>1.8</v>
      </c>
      <c r="W73" s="4">
        <v>74</v>
      </c>
      <c r="X73" s="4">
        <v>15.2</v>
      </c>
      <c r="Y73" s="4"/>
      <c r="Z73" s="12">
        <v>1.3818181818181818</v>
      </c>
      <c r="AA73" s="4"/>
      <c r="AB73" s="4">
        <v>1</v>
      </c>
      <c r="AC73" s="4">
        <v>140</v>
      </c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>
        <v>0</v>
      </c>
      <c r="BH73" s="4">
        <v>0</v>
      </c>
      <c r="BI73" s="4">
        <v>0</v>
      </c>
      <c r="BJ73" s="4">
        <v>0</v>
      </c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5"/>
      <c r="BX73" s="4"/>
      <c r="BY73" s="4"/>
      <c r="BZ73" s="4"/>
      <c r="CA73" s="4"/>
      <c r="CB73" s="4"/>
      <c r="CC73" s="4"/>
      <c r="CD73" s="4"/>
    </row>
    <row r="74" spans="1:82" x14ac:dyDescent="0.25">
      <c r="A74" s="4">
        <v>73</v>
      </c>
      <c r="B74" s="4" t="s">
        <v>205</v>
      </c>
      <c r="C74" s="4" t="s">
        <v>208</v>
      </c>
      <c r="D74" s="4" t="s">
        <v>728</v>
      </c>
      <c r="E74" s="5" t="s">
        <v>728</v>
      </c>
      <c r="F74" s="5" t="s">
        <v>728</v>
      </c>
      <c r="G74" s="4" t="s">
        <v>207</v>
      </c>
      <c r="H74" s="5">
        <v>67</v>
      </c>
      <c r="I74" s="5" t="s">
        <v>85</v>
      </c>
      <c r="J74" s="5"/>
      <c r="K74" s="5"/>
      <c r="L74" s="13">
        <v>38177</v>
      </c>
      <c r="M74" s="13">
        <v>38126</v>
      </c>
      <c r="N74" s="4">
        <v>6</v>
      </c>
      <c r="O74" s="4">
        <v>139</v>
      </c>
      <c r="P74" s="4">
        <v>5200</v>
      </c>
      <c r="Q74" s="4">
        <v>123</v>
      </c>
      <c r="R74" s="4">
        <v>66</v>
      </c>
      <c r="S74" s="4">
        <v>124</v>
      </c>
      <c r="T74" s="4">
        <v>20</v>
      </c>
      <c r="U74" s="4">
        <v>131</v>
      </c>
      <c r="V74" s="41">
        <v>1.5</v>
      </c>
      <c r="W74" s="4">
        <v>85</v>
      </c>
      <c r="X74" s="4">
        <v>13.8</v>
      </c>
      <c r="Y74" s="4"/>
      <c r="Z74" s="12">
        <v>1.2545454545454546</v>
      </c>
      <c r="AA74" s="4">
        <v>41</v>
      </c>
      <c r="AB74" s="4">
        <v>0.8</v>
      </c>
      <c r="AC74" s="4">
        <v>142</v>
      </c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>
        <v>0</v>
      </c>
      <c r="BH74" s="4">
        <v>0</v>
      </c>
      <c r="BI74" s="4">
        <v>0</v>
      </c>
      <c r="BJ74" s="4">
        <v>0</v>
      </c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5"/>
      <c r="BX74" s="4"/>
      <c r="BY74" s="4"/>
      <c r="BZ74" s="4"/>
      <c r="CA74" s="4"/>
      <c r="CB74" s="4"/>
      <c r="CC74" s="4"/>
      <c r="CD74" s="4"/>
    </row>
    <row r="75" spans="1:82" x14ac:dyDescent="0.25">
      <c r="A75" s="4">
        <v>74</v>
      </c>
      <c r="B75" s="4" t="s">
        <v>205</v>
      </c>
      <c r="C75" s="4" t="s">
        <v>209</v>
      </c>
      <c r="D75" s="4" t="s">
        <v>728</v>
      </c>
      <c r="E75" s="5" t="s">
        <v>728</v>
      </c>
      <c r="F75" s="5" t="s">
        <v>728</v>
      </c>
      <c r="G75" s="4" t="s">
        <v>207</v>
      </c>
      <c r="H75" s="5">
        <v>64</v>
      </c>
      <c r="I75" s="5" t="s">
        <v>80</v>
      </c>
      <c r="J75" s="5"/>
      <c r="K75" s="5"/>
      <c r="L75" s="13">
        <v>38533</v>
      </c>
      <c r="M75" s="13">
        <v>38516</v>
      </c>
      <c r="N75" s="4">
        <v>7.5</v>
      </c>
      <c r="O75" s="4">
        <v>175</v>
      </c>
      <c r="P75" s="4">
        <v>8900</v>
      </c>
      <c r="Q75" s="4">
        <v>164</v>
      </c>
      <c r="R75" s="4">
        <v>99</v>
      </c>
      <c r="S75" s="4">
        <v>155</v>
      </c>
      <c r="T75" s="4">
        <v>43</v>
      </c>
      <c r="U75" s="4">
        <v>171</v>
      </c>
      <c r="V75" s="41">
        <v>1.1000000000000001</v>
      </c>
      <c r="W75" s="4">
        <v>100</v>
      </c>
      <c r="X75" s="4">
        <v>12.8</v>
      </c>
      <c r="Y75" s="4"/>
      <c r="Z75" s="12">
        <v>1.1636363636363638</v>
      </c>
      <c r="AA75" s="4">
        <v>41</v>
      </c>
      <c r="AB75" s="4">
        <v>1</v>
      </c>
      <c r="AC75" s="4">
        <v>139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>
        <v>0</v>
      </c>
      <c r="BH75" s="4">
        <v>0</v>
      </c>
      <c r="BI75" s="4">
        <v>0</v>
      </c>
      <c r="BJ75" s="4">
        <v>0</v>
      </c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5"/>
      <c r="BX75" s="4"/>
      <c r="BY75" s="4"/>
      <c r="BZ75" s="4"/>
      <c r="CA75" s="4"/>
      <c r="CB75" s="4"/>
      <c r="CC75" s="4"/>
      <c r="CD75" s="4"/>
    </row>
    <row r="76" spans="1:82" x14ac:dyDescent="0.25">
      <c r="A76" s="4">
        <v>75</v>
      </c>
      <c r="B76" s="4" t="s">
        <v>205</v>
      </c>
      <c r="C76" s="4" t="s">
        <v>210</v>
      </c>
      <c r="D76" s="4" t="s">
        <v>728</v>
      </c>
      <c r="E76" s="5" t="s">
        <v>728</v>
      </c>
      <c r="F76" s="5" t="s">
        <v>728</v>
      </c>
      <c r="G76" s="4" t="s">
        <v>207</v>
      </c>
      <c r="H76" s="5">
        <v>61</v>
      </c>
      <c r="I76" s="5" t="s">
        <v>80</v>
      </c>
      <c r="J76" s="5"/>
      <c r="K76" s="5"/>
      <c r="L76" s="13">
        <v>38506</v>
      </c>
      <c r="M76" s="13">
        <v>38496</v>
      </c>
      <c r="N76" s="4">
        <v>9</v>
      </c>
      <c r="O76" s="4">
        <v>161</v>
      </c>
      <c r="P76" s="4">
        <v>6400</v>
      </c>
      <c r="Q76" s="4">
        <v>213</v>
      </c>
      <c r="R76" s="4">
        <v>116</v>
      </c>
      <c r="S76" s="4">
        <v>156</v>
      </c>
      <c r="T76" s="4">
        <v>58</v>
      </c>
      <c r="U76" s="4">
        <v>78</v>
      </c>
      <c r="V76" s="41">
        <v>0.8</v>
      </c>
      <c r="W76" s="4">
        <v>94</v>
      </c>
      <c r="X76" s="4">
        <v>13.4</v>
      </c>
      <c r="Y76" s="4"/>
      <c r="Z76" s="12">
        <v>1.2181818181818183</v>
      </c>
      <c r="AA76" s="4">
        <v>47</v>
      </c>
      <c r="AB76" s="4">
        <v>1.1000000000000001</v>
      </c>
      <c r="AC76" s="4">
        <v>144</v>
      </c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>
        <v>0</v>
      </c>
      <c r="BH76" s="4">
        <v>0</v>
      </c>
      <c r="BI76" s="4">
        <v>0</v>
      </c>
      <c r="BJ76" s="4">
        <v>0</v>
      </c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5"/>
      <c r="BX76" s="4"/>
      <c r="BY76" s="4"/>
      <c r="BZ76" s="4"/>
      <c r="CA76" s="4"/>
      <c r="CB76" s="4"/>
      <c r="CC76" s="4"/>
      <c r="CD76" s="4"/>
    </row>
    <row r="77" spans="1:82" x14ac:dyDescent="0.25">
      <c r="A77" s="4">
        <v>76</v>
      </c>
      <c r="B77" s="4" t="s">
        <v>205</v>
      </c>
      <c r="C77" s="4" t="s">
        <v>211</v>
      </c>
      <c r="D77" s="4" t="s">
        <v>728</v>
      </c>
      <c r="E77" s="5" t="s">
        <v>728</v>
      </c>
      <c r="F77" s="5" t="s">
        <v>728</v>
      </c>
      <c r="G77" s="4" t="s">
        <v>207</v>
      </c>
      <c r="H77" s="5">
        <v>61</v>
      </c>
      <c r="I77" s="5" t="s">
        <v>80</v>
      </c>
      <c r="J77" s="5"/>
      <c r="K77" s="5"/>
      <c r="L77" s="13">
        <v>38490</v>
      </c>
      <c r="M77" s="13">
        <v>38474</v>
      </c>
      <c r="N77" s="4">
        <v>12</v>
      </c>
      <c r="O77" s="4">
        <v>165</v>
      </c>
      <c r="P77" s="4">
        <v>4500</v>
      </c>
      <c r="Q77" s="4">
        <v>150</v>
      </c>
      <c r="R77" s="4">
        <v>86</v>
      </c>
      <c r="S77" s="4">
        <v>99</v>
      </c>
      <c r="T77" s="4">
        <v>37</v>
      </c>
      <c r="U77" s="4">
        <v>176</v>
      </c>
      <c r="V77" s="41">
        <v>1.1000000000000001</v>
      </c>
      <c r="W77" s="4">
        <v>96</v>
      </c>
      <c r="X77" s="4">
        <v>13.4</v>
      </c>
      <c r="Y77" s="4"/>
      <c r="Z77" s="12">
        <v>1.2181818181818183</v>
      </c>
      <c r="AA77" s="4"/>
      <c r="AB77" s="4">
        <v>1.1000000000000001</v>
      </c>
      <c r="AC77" s="4">
        <v>141</v>
      </c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>
        <v>0</v>
      </c>
      <c r="BH77" s="4">
        <v>0</v>
      </c>
      <c r="BI77" s="4">
        <v>0</v>
      </c>
      <c r="BJ77" s="4">
        <v>0</v>
      </c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5"/>
      <c r="BX77" s="4"/>
      <c r="BY77" s="4"/>
      <c r="BZ77" s="4"/>
      <c r="CA77" s="4"/>
      <c r="CB77" s="4"/>
      <c r="CC77" s="4"/>
      <c r="CD77" s="4"/>
    </row>
    <row r="78" spans="1:82" x14ac:dyDescent="0.25">
      <c r="A78" s="4">
        <v>77</v>
      </c>
      <c r="B78" s="4" t="s">
        <v>205</v>
      </c>
      <c r="C78" s="4" t="s">
        <v>212</v>
      </c>
      <c r="D78" s="4" t="s">
        <v>728</v>
      </c>
      <c r="E78" s="5" t="s">
        <v>728</v>
      </c>
      <c r="F78" s="5" t="s">
        <v>728</v>
      </c>
      <c r="G78" s="4" t="s">
        <v>207</v>
      </c>
      <c r="H78" s="5">
        <v>53</v>
      </c>
      <c r="I78" s="5" t="s">
        <v>80</v>
      </c>
      <c r="J78" s="5"/>
      <c r="K78" s="5"/>
      <c r="L78" s="13">
        <v>38974</v>
      </c>
      <c r="M78" s="13">
        <v>38957</v>
      </c>
      <c r="N78" s="4">
        <v>6.5</v>
      </c>
      <c r="O78" s="4">
        <v>167</v>
      </c>
      <c r="P78" s="4">
        <v>6940</v>
      </c>
      <c r="Q78" s="4">
        <v>123</v>
      </c>
      <c r="R78" s="4">
        <v>63</v>
      </c>
      <c r="S78" s="4">
        <v>113</v>
      </c>
      <c r="T78" s="4">
        <v>45</v>
      </c>
      <c r="U78" s="4">
        <v>150</v>
      </c>
      <c r="V78" s="41">
        <v>0.6</v>
      </c>
      <c r="W78" s="4">
        <v>87</v>
      </c>
      <c r="X78" s="4">
        <v>13.9</v>
      </c>
      <c r="Y78" s="4"/>
      <c r="Z78" s="12">
        <v>1.2636363636363637</v>
      </c>
      <c r="AA78" s="4">
        <v>45</v>
      </c>
      <c r="AB78" s="4">
        <v>0.94</v>
      </c>
      <c r="AC78" s="4">
        <v>142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>
        <v>0</v>
      </c>
      <c r="BH78" s="4">
        <v>0</v>
      </c>
      <c r="BI78" s="4">
        <v>0</v>
      </c>
      <c r="BJ78" s="4">
        <v>0</v>
      </c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5"/>
      <c r="BX78" s="4"/>
      <c r="BY78" s="4"/>
      <c r="BZ78" s="4"/>
      <c r="CA78" s="4"/>
      <c r="CB78" s="4"/>
      <c r="CC78" s="4"/>
      <c r="CD78" s="4"/>
    </row>
    <row r="79" spans="1:82" x14ac:dyDescent="0.25">
      <c r="A79" s="4">
        <v>78</v>
      </c>
      <c r="B79" s="4" t="s">
        <v>205</v>
      </c>
      <c r="C79" s="4" t="s">
        <v>213</v>
      </c>
      <c r="D79" s="4" t="s">
        <v>728</v>
      </c>
      <c r="E79" s="5" t="s">
        <v>728</v>
      </c>
      <c r="F79" s="5" t="s">
        <v>728</v>
      </c>
      <c r="G79" s="4" t="s">
        <v>207</v>
      </c>
      <c r="H79" s="5">
        <v>45</v>
      </c>
      <c r="I79" s="5" t="s">
        <v>80</v>
      </c>
      <c r="J79" s="5"/>
      <c r="K79" s="5"/>
      <c r="L79" s="13">
        <v>38875</v>
      </c>
      <c r="M79" s="13">
        <v>38866</v>
      </c>
      <c r="N79" s="4">
        <v>6.5</v>
      </c>
      <c r="O79" s="4">
        <v>185</v>
      </c>
      <c r="P79" s="4">
        <v>6950</v>
      </c>
      <c r="Q79" s="4">
        <v>142</v>
      </c>
      <c r="R79" s="4">
        <v>95</v>
      </c>
      <c r="S79" s="4">
        <v>103</v>
      </c>
      <c r="T79" s="4">
        <v>276</v>
      </c>
      <c r="U79" s="4">
        <v>247</v>
      </c>
      <c r="V79" s="41">
        <v>0.7</v>
      </c>
      <c r="W79" s="4">
        <v>100</v>
      </c>
      <c r="X79" s="4">
        <v>12.8</v>
      </c>
      <c r="Y79" s="4"/>
      <c r="Z79" s="12">
        <v>1.1636363636363638</v>
      </c>
      <c r="AA79" s="4">
        <v>45</v>
      </c>
      <c r="AB79" s="4">
        <v>0.84</v>
      </c>
      <c r="AC79" s="4">
        <v>136</v>
      </c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>
        <v>0</v>
      </c>
      <c r="BH79" s="4">
        <v>0</v>
      </c>
      <c r="BI79" s="4">
        <v>0</v>
      </c>
      <c r="BJ79" s="4">
        <v>0</v>
      </c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5"/>
      <c r="BX79" s="4"/>
      <c r="BY79" s="4"/>
      <c r="BZ79" s="4"/>
      <c r="CA79" s="4"/>
      <c r="CB79" s="4"/>
      <c r="CC79" s="4"/>
      <c r="CD79" s="4"/>
    </row>
    <row r="80" spans="1:82" x14ac:dyDescent="0.25">
      <c r="A80" s="4">
        <v>79</v>
      </c>
      <c r="B80" s="4" t="s">
        <v>205</v>
      </c>
      <c r="C80" s="4" t="s">
        <v>214</v>
      </c>
      <c r="D80" s="4" t="s">
        <v>728</v>
      </c>
      <c r="E80" s="5" t="s">
        <v>728</v>
      </c>
      <c r="F80" s="5" t="s">
        <v>728</v>
      </c>
      <c r="G80" s="4" t="s">
        <v>207</v>
      </c>
      <c r="H80" s="5">
        <v>69</v>
      </c>
      <c r="I80" s="5" t="s">
        <v>80</v>
      </c>
      <c r="J80" s="5"/>
      <c r="K80" s="5"/>
      <c r="L80" s="13">
        <v>38379</v>
      </c>
      <c r="M80" s="13">
        <v>38379</v>
      </c>
      <c r="N80" s="4">
        <v>3.5</v>
      </c>
      <c r="O80" s="4">
        <v>93</v>
      </c>
      <c r="P80" s="4">
        <v>3100</v>
      </c>
      <c r="Q80" s="4">
        <v>108</v>
      </c>
      <c r="R80" s="4">
        <v>63</v>
      </c>
      <c r="S80" s="4">
        <v>56</v>
      </c>
      <c r="T80" s="4">
        <v>388</v>
      </c>
      <c r="U80" s="4">
        <v>547</v>
      </c>
      <c r="V80" s="41">
        <v>0.8</v>
      </c>
      <c r="W80" s="4">
        <v>97</v>
      </c>
      <c r="X80" s="4">
        <v>13.1</v>
      </c>
      <c r="Y80" s="4"/>
      <c r="Z80" s="12">
        <v>1.1909090909090909</v>
      </c>
      <c r="AA80" s="4">
        <v>39</v>
      </c>
      <c r="AB80" s="4">
        <v>1.4</v>
      </c>
      <c r="AC80" s="4">
        <v>139</v>
      </c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>
        <v>0</v>
      </c>
      <c r="BH80" s="4">
        <v>0</v>
      </c>
      <c r="BI80" s="4">
        <v>0</v>
      </c>
      <c r="BJ80" s="4">
        <v>0</v>
      </c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5"/>
      <c r="BX80" s="4"/>
      <c r="BY80" s="4"/>
      <c r="BZ80" s="4"/>
      <c r="CA80" s="4"/>
      <c r="CB80" s="4"/>
      <c r="CC80" s="4"/>
      <c r="CD80" s="4"/>
    </row>
    <row r="81" spans="1:82" x14ac:dyDescent="0.25">
      <c r="A81" s="4">
        <v>80</v>
      </c>
      <c r="B81" s="4" t="s">
        <v>205</v>
      </c>
      <c r="C81" s="4" t="s">
        <v>215</v>
      </c>
      <c r="D81" s="4" t="s">
        <v>728</v>
      </c>
      <c r="E81" s="5" t="s">
        <v>728</v>
      </c>
      <c r="F81" s="5" t="s">
        <v>728</v>
      </c>
      <c r="G81" s="4" t="s">
        <v>207</v>
      </c>
      <c r="H81" s="5">
        <v>65</v>
      </c>
      <c r="I81" s="5" t="s">
        <v>85</v>
      </c>
      <c r="J81" s="5"/>
      <c r="K81" s="5"/>
      <c r="L81" s="13">
        <v>38243</v>
      </c>
      <c r="M81" s="13">
        <v>38211</v>
      </c>
      <c r="N81" s="4">
        <v>10</v>
      </c>
      <c r="O81" s="4">
        <v>128</v>
      </c>
      <c r="P81" s="4">
        <v>4000</v>
      </c>
      <c r="Q81" s="4">
        <v>189</v>
      </c>
      <c r="R81" s="4">
        <v>53</v>
      </c>
      <c r="S81" s="4">
        <v>33</v>
      </c>
      <c r="T81" s="4">
        <v>13</v>
      </c>
      <c r="U81" s="4">
        <v>257</v>
      </c>
      <c r="V81" s="41">
        <v>1.9</v>
      </c>
      <c r="W81" s="4">
        <v>77</v>
      </c>
      <c r="X81" s="4">
        <v>14.3</v>
      </c>
      <c r="Y81" s="4"/>
      <c r="Z81" s="12">
        <v>1.3</v>
      </c>
      <c r="AA81" s="4">
        <v>40</v>
      </c>
      <c r="AB81" s="4">
        <v>0.7</v>
      </c>
      <c r="AC81" s="4">
        <v>144</v>
      </c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>
        <v>0</v>
      </c>
      <c r="BH81" s="4">
        <v>0</v>
      </c>
      <c r="BI81" s="4">
        <v>0</v>
      </c>
      <c r="BJ81" s="4">
        <v>0</v>
      </c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5"/>
      <c r="BX81" s="4"/>
      <c r="BY81" s="4"/>
      <c r="BZ81" s="4"/>
      <c r="CA81" s="4"/>
      <c r="CB81" s="4"/>
      <c r="CC81" s="4"/>
      <c r="CD81" s="4"/>
    </row>
    <row r="82" spans="1:82" x14ac:dyDescent="0.25">
      <c r="A82" s="4">
        <v>89</v>
      </c>
      <c r="B82" s="4" t="s">
        <v>216</v>
      </c>
      <c r="C82" s="4" t="s">
        <v>217</v>
      </c>
      <c r="D82" s="4" t="s">
        <v>729</v>
      </c>
      <c r="E82" s="5" t="s">
        <v>729</v>
      </c>
      <c r="F82" s="5" t="s">
        <v>729</v>
      </c>
      <c r="G82" s="4" t="s">
        <v>218</v>
      </c>
      <c r="H82" s="5">
        <v>46</v>
      </c>
      <c r="I82" s="5" t="s">
        <v>219</v>
      </c>
      <c r="J82" s="5"/>
      <c r="K82" s="5"/>
      <c r="L82" s="5"/>
      <c r="M82" s="5"/>
      <c r="N82" s="4"/>
      <c r="O82" s="4">
        <v>130</v>
      </c>
      <c r="P82" s="4">
        <v>5400</v>
      </c>
      <c r="Q82" s="4">
        <v>215</v>
      </c>
      <c r="R82" s="4">
        <v>15</v>
      </c>
      <c r="S82" s="4">
        <v>11</v>
      </c>
      <c r="T82" s="4">
        <v>12</v>
      </c>
      <c r="U82" s="4">
        <v>110</v>
      </c>
      <c r="V82" s="41">
        <v>0.5</v>
      </c>
      <c r="W82" s="4">
        <v>90</v>
      </c>
      <c r="X82" s="4">
        <v>13.7</v>
      </c>
      <c r="Y82" s="4">
        <v>1.07</v>
      </c>
      <c r="Z82" s="4"/>
      <c r="AA82" s="4">
        <v>38</v>
      </c>
      <c r="AB82" s="4">
        <v>0.71</v>
      </c>
      <c r="AC82" s="4">
        <v>140</v>
      </c>
      <c r="AD82" s="4">
        <v>71</v>
      </c>
      <c r="AE82" s="4">
        <v>161</v>
      </c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>
        <v>0</v>
      </c>
      <c r="BH82" s="4">
        <v>0</v>
      </c>
      <c r="BI82" s="4">
        <v>0</v>
      </c>
      <c r="BJ82" s="4">
        <v>0</v>
      </c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5"/>
      <c r="BX82" s="4"/>
      <c r="BY82" s="4"/>
      <c r="BZ82" s="4"/>
      <c r="CA82" s="4"/>
      <c r="CB82" s="4"/>
      <c r="CC82" s="4"/>
      <c r="CD82" s="4"/>
    </row>
    <row r="83" spans="1:82" x14ac:dyDescent="0.25">
      <c r="A83" s="4">
        <v>90</v>
      </c>
      <c r="B83" s="4" t="s">
        <v>216</v>
      </c>
      <c r="C83" s="4" t="s">
        <v>220</v>
      </c>
      <c r="D83" s="4" t="s">
        <v>729</v>
      </c>
      <c r="E83" s="5" t="s">
        <v>729</v>
      </c>
      <c r="F83" s="5" t="s">
        <v>729</v>
      </c>
      <c r="G83" s="4" t="s">
        <v>218</v>
      </c>
      <c r="H83" s="5">
        <v>50</v>
      </c>
      <c r="I83" s="5" t="s">
        <v>219</v>
      </c>
      <c r="J83" s="5"/>
      <c r="K83" s="5"/>
      <c r="L83" s="5"/>
      <c r="M83" s="5"/>
      <c r="N83" s="4"/>
      <c r="O83" s="4">
        <v>118</v>
      </c>
      <c r="P83" s="4">
        <v>4800</v>
      </c>
      <c r="Q83" s="4">
        <v>237</v>
      </c>
      <c r="R83" s="4">
        <v>20</v>
      </c>
      <c r="S83" s="4">
        <v>11</v>
      </c>
      <c r="T83" s="4">
        <v>9</v>
      </c>
      <c r="U83" s="4">
        <v>72</v>
      </c>
      <c r="V83" s="41">
        <v>0.6</v>
      </c>
      <c r="W83" s="4">
        <v>93</v>
      </c>
      <c r="X83" s="4">
        <v>13.7</v>
      </c>
      <c r="Y83" s="4">
        <v>1.05</v>
      </c>
      <c r="Z83" s="4"/>
      <c r="AA83" s="4">
        <v>44</v>
      </c>
      <c r="AB83" s="4">
        <v>0.94</v>
      </c>
      <c r="AC83" s="4">
        <v>143</v>
      </c>
      <c r="AD83" s="4">
        <v>52</v>
      </c>
      <c r="AE83" s="4">
        <v>162</v>
      </c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>
        <v>0</v>
      </c>
      <c r="BH83" s="4">
        <v>0</v>
      </c>
      <c r="BI83" s="4">
        <v>0</v>
      </c>
      <c r="BJ83" s="4">
        <v>0</v>
      </c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5"/>
      <c r="BX83" s="4"/>
      <c r="BY83" s="4"/>
      <c r="BZ83" s="4"/>
      <c r="CA83" s="4"/>
      <c r="CB83" s="4"/>
      <c r="CC83" s="4"/>
      <c r="CD83" s="4"/>
    </row>
    <row r="84" spans="1:82" x14ac:dyDescent="0.25">
      <c r="A84" s="4">
        <v>91</v>
      </c>
      <c r="B84" s="4" t="s">
        <v>216</v>
      </c>
      <c r="C84" s="4" t="s">
        <v>221</v>
      </c>
      <c r="D84" s="4" t="s">
        <v>729</v>
      </c>
      <c r="E84" s="5" t="s">
        <v>729</v>
      </c>
      <c r="F84" s="5" t="s">
        <v>729</v>
      </c>
      <c r="G84" s="4" t="s">
        <v>218</v>
      </c>
      <c r="H84" s="5">
        <v>34</v>
      </c>
      <c r="I84" s="5" t="s">
        <v>222</v>
      </c>
      <c r="J84" s="5"/>
      <c r="K84" s="5"/>
      <c r="L84" s="5"/>
      <c r="M84" s="5"/>
      <c r="N84" s="4"/>
      <c r="O84" s="4">
        <v>140</v>
      </c>
      <c r="P84" s="4">
        <v>7300</v>
      </c>
      <c r="Q84" s="4">
        <v>237</v>
      </c>
      <c r="R84" s="4">
        <v>21</v>
      </c>
      <c r="S84" s="4">
        <v>24</v>
      </c>
      <c r="T84" s="4">
        <v>15</v>
      </c>
      <c r="U84" s="4">
        <v>133</v>
      </c>
      <c r="V84" s="41">
        <v>0.7</v>
      </c>
      <c r="W84" s="4">
        <v>92.2</v>
      </c>
      <c r="X84" s="4">
        <v>11.5</v>
      </c>
      <c r="Y84" s="4">
        <v>1.02</v>
      </c>
      <c r="Z84" s="4"/>
      <c r="AA84" s="4">
        <v>46</v>
      </c>
      <c r="AB84" s="4">
        <v>0.81</v>
      </c>
      <c r="AC84" s="4">
        <v>140</v>
      </c>
      <c r="AD84" s="4">
        <v>74</v>
      </c>
      <c r="AE84" s="4">
        <v>172</v>
      </c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>
        <v>0</v>
      </c>
      <c r="BH84" s="4">
        <v>0</v>
      </c>
      <c r="BI84" s="4">
        <v>0</v>
      </c>
      <c r="BJ84" s="4">
        <v>0</v>
      </c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5"/>
      <c r="BX84" s="4"/>
      <c r="BY84" s="4"/>
      <c r="BZ84" s="4"/>
      <c r="CA84" s="4"/>
      <c r="CB84" s="4"/>
      <c r="CC84" s="4"/>
      <c r="CD84" s="4"/>
    </row>
    <row r="85" spans="1:82" x14ac:dyDescent="0.25">
      <c r="A85" s="4">
        <v>92</v>
      </c>
      <c r="B85" s="4" t="s">
        <v>216</v>
      </c>
      <c r="C85" s="4" t="s">
        <v>223</v>
      </c>
      <c r="D85" s="4" t="s">
        <v>729</v>
      </c>
      <c r="E85" s="5" t="s">
        <v>729</v>
      </c>
      <c r="F85" s="5" t="s">
        <v>729</v>
      </c>
      <c r="G85" s="4" t="s">
        <v>218</v>
      </c>
      <c r="H85" s="5">
        <v>29</v>
      </c>
      <c r="I85" s="5" t="s">
        <v>222</v>
      </c>
      <c r="J85" s="5"/>
      <c r="K85" s="5"/>
      <c r="L85" s="5"/>
      <c r="M85" s="5"/>
      <c r="N85" s="4"/>
      <c r="O85" s="4">
        <v>151</v>
      </c>
      <c r="P85" s="4">
        <v>6920</v>
      </c>
      <c r="Q85" s="4">
        <v>198</v>
      </c>
      <c r="R85" s="4">
        <v>25</v>
      </c>
      <c r="S85" s="4">
        <v>33</v>
      </c>
      <c r="T85" s="4">
        <v>21</v>
      </c>
      <c r="U85" s="4">
        <v>95</v>
      </c>
      <c r="V85" s="41">
        <v>0.5</v>
      </c>
      <c r="W85" s="4">
        <v>100</v>
      </c>
      <c r="X85" s="4">
        <v>12</v>
      </c>
      <c r="Y85" s="4">
        <v>0.89</v>
      </c>
      <c r="Z85" s="4"/>
      <c r="AA85" s="4">
        <v>46</v>
      </c>
      <c r="AB85" s="4">
        <v>0.87</v>
      </c>
      <c r="AC85" s="4">
        <v>145</v>
      </c>
      <c r="AD85" s="4">
        <v>95</v>
      </c>
      <c r="AE85" s="4">
        <v>175</v>
      </c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>
        <v>0</v>
      </c>
      <c r="BH85" s="4">
        <v>0</v>
      </c>
      <c r="BI85" s="4">
        <v>0</v>
      </c>
      <c r="BJ85" s="4">
        <v>0</v>
      </c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5"/>
      <c r="BX85" s="4"/>
      <c r="BY85" s="4"/>
      <c r="BZ85" s="4"/>
      <c r="CA85" s="4"/>
      <c r="CB85" s="4"/>
      <c r="CC85" s="4"/>
      <c r="CD85" s="4"/>
    </row>
    <row r="86" spans="1:82" x14ac:dyDescent="0.25">
      <c r="A86" s="4">
        <v>93</v>
      </c>
      <c r="B86" s="4" t="s">
        <v>216</v>
      </c>
      <c r="C86" s="4" t="s">
        <v>224</v>
      </c>
      <c r="D86" s="4" t="s">
        <v>729</v>
      </c>
      <c r="E86" s="5" t="s">
        <v>729</v>
      </c>
      <c r="F86" s="5" t="s">
        <v>729</v>
      </c>
      <c r="G86" s="4" t="s">
        <v>218</v>
      </c>
      <c r="H86" s="5">
        <v>28</v>
      </c>
      <c r="I86" s="5" t="s">
        <v>222</v>
      </c>
      <c r="J86" s="5"/>
      <c r="K86" s="5"/>
      <c r="L86" s="5"/>
      <c r="M86" s="5"/>
      <c r="N86" s="4"/>
      <c r="O86" s="4">
        <v>154</v>
      </c>
      <c r="P86" s="4">
        <v>5000</v>
      </c>
      <c r="Q86" s="4">
        <v>242</v>
      </c>
      <c r="R86" s="4">
        <v>19</v>
      </c>
      <c r="S86" s="4">
        <v>26</v>
      </c>
      <c r="T86" s="4">
        <v>14</v>
      </c>
      <c r="U86" s="4">
        <v>190</v>
      </c>
      <c r="V86" s="41">
        <v>0.4</v>
      </c>
      <c r="W86" s="4">
        <v>99</v>
      </c>
      <c r="X86" s="4">
        <v>13.2</v>
      </c>
      <c r="Y86" s="4">
        <v>0.98599999999999999</v>
      </c>
      <c r="Z86" s="4"/>
      <c r="AA86" s="4">
        <v>46</v>
      </c>
      <c r="AB86" s="4">
        <v>0.89</v>
      </c>
      <c r="AC86" s="4">
        <v>140</v>
      </c>
      <c r="AD86" s="4">
        <v>86.8</v>
      </c>
      <c r="AE86" s="4">
        <v>175</v>
      </c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>
        <v>0</v>
      </c>
      <c r="BH86" s="4">
        <v>0</v>
      </c>
      <c r="BI86" s="4">
        <v>0</v>
      </c>
      <c r="BJ86" s="4">
        <v>0</v>
      </c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5"/>
      <c r="BX86" s="4"/>
      <c r="BY86" s="4"/>
      <c r="BZ86" s="4"/>
      <c r="CA86" s="4"/>
      <c r="CB86" s="4"/>
      <c r="CC86" s="4"/>
      <c r="CD86" s="4"/>
    </row>
    <row r="87" spans="1:82" x14ac:dyDescent="0.25">
      <c r="A87" s="4">
        <v>94</v>
      </c>
      <c r="B87" s="4" t="s">
        <v>216</v>
      </c>
      <c r="C87" s="4" t="s">
        <v>226</v>
      </c>
      <c r="D87" s="4" t="s">
        <v>729</v>
      </c>
      <c r="E87" s="5" t="s">
        <v>729</v>
      </c>
      <c r="F87" s="5" t="s">
        <v>729</v>
      </c>
      <c r="G87" s="4" t="s">
        <v>218</v>
      </c>
      <c r="H87" s="5">
        <v>30</v>
      </c>
      <c r="I87" s="5" t="s">
        <v>222</v>
      </c>
      <c r="J87" s="5"/>
      <c r="K87" s="5"/>
      <c r="L87" s="5"/>
      <c r="M87" s="5"/>
      <c r="N87" s="4"/>
      <c r="O87" s="4">
        <v>162</v>
      </c>
      <c r="P87" s="4">
        <v>5760</v>
      </c>
      <c r="Q87" s="4">
        <v>177</v>
      </c>
      <c r="R87" s="4">
        <v>28</v>
      </c>
      <c r="S87" s="4">
        <v>50</v>
      </c>
      <c r="T87" s="4">
        <v>27</v>
      </c>
      <c r="U87" s="4">
        <v>193</v>
      </c>
      <c r="V87" s="41">
        <v>0.6</v>
      </c>
      <c r="W87" s="4">
        <v>94</v>
      </c>
      <c r="X87" s="4">
        <v>13.4</v>
      </c>
      <c r="Y87" s="4">
        <v>1.04</v>
      </c>
      <c r="Z87" s="4"/>
      <c r="AA87" s="4">
        <v>45</v>
      </c>
      <c r="AB87" s="4">
        <v>0.99</v>
      </c>
      <c r="AC87" s="4">
        <v>141</v>
      </c>
      <c r="AD87" s="4">
        <v>80</v>
      </c>
      <c r="AE87" s="4">
        <v>159</v>
      </c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>
        <v>0</v>
      </c>
      <c r="BH87" s="4">
        <v>0</v>
      </c>
      <c r="BI87" s="4">
        <v>0</v>
      </c>
      <c r="BJ87" s="4">
        <v>0</v>
      </c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5"/>
      <c r="BX87" s="4"/>
      <c r="BY87" s="4"/>
      <c r="BZ87" s="4"/>
      <c r="CA87" s="4"/>
      <c r="CB87" s="4"/>
      <c r="CC87" s="4"/>
      <c r="CD87" s="4"/>
    </row>
    <row r="88" spans="1:82" x14ac:dyDescent="0.25">
      <c r="A88" s="4">
        <v>95</v>
      </c>
      <c r="B88" s="4" t="s">
        <v>216</v>
      </c>
      <c r="C88" s="4" t="s">
        <v>228</v>
      </c>
      <c r="D88" s="4" t="s">
        <v>729</v>
      </c>
      <c r="E88" s="5" t="s">
        <v>729</v>
      </c>
      <c r="F88" s="5" t="s">
        <v>729</v>
      </c>
      <c r="G88" s="4" t="s">
        <v>218</v>
      </c>
      <c r="H88" s="5">
        <v>53</v>
      </c>
      <c r="I88" s="5" t="s">
        <v>222</v>
      </c>
      <c r="J88" s="5"/>
      <c r="K88" s="5"/>
      <c r="L88" s="5"/>
      <c r="M88" s="5"/>
      <c r="N88" s="4"/>
      <c r="O88" s="4">
        <v>144</v>
      </c>
      <c r="P88" s="4">
        <v>9400</v>
      </c>
      <c r="Q88" s="4">
        <v>346</v>
      </c>
      <c r="R88" s="4">
        <v>28</v>
      </c>
      <c r="S88" s="4">
        <v>38</v>
      </c>
      <c r="T88" s="4">
        <v>27</v>
      </c>
      <c r="U88" s="4">
        <v>120</v>
      </c>
      <c r="V88" s="41">
        <v>0.6</v>
      </c>
      <c r="W88" s="4">
        <v>100</v>
      </c>
      <c r="X88" s="4">
        <v>12.9</v>
      </c>
      <c r="Y88" s="4">
        <v>0.99</v>
      </c>
      <c r="Z88" s="4"/>
      <c r="AA88" s="4">
        <v>46</v>
      </c>
      <c r="AB88" s="4">
        <v>0.75</v>
      </c>
      <c r="AC88" s="4">
        <v>141</v>
      </c>
      <c r="AD88" s="4">
        <v>78</v>
      </c>
      <c r="AE88" s="4">
        <v>174</v>
      </c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>
        <v>0</v>
      </c>
      <c r="BH88" s="4">
        <v>0</v>
      </c>
      <c r="BI88" s="4">
        <v>0</v>
      </c>
      <c r="BJ88" s="4">
        <v>0</v>
      </c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5"/>
      <c r="BX88" s="4"/>
      <c r="BY88" s="4"/>
      <c r="BZ88" s="4"/>
      <c r="CA88" s="4"/>
      <c r="CB88" s="4"/>
      <c r="CC88" s="4"/>
      <c r="CD88" s="4"/>
    </row>
    <row r="89" spans="1:82" x14ac:dyDescent="0.25">
      <c r="A89" s="4">
        <v>96</v>
      </c>
      <c r="B89" s="4" t="s">
        <v>216</v>
      </c>
      <c r="C89" s="4" t="s">
        <v>230</v>
      </c>
      <c r="D89" s="4" t="s">
        <v>729</v>
      </c>
      <c r="E89" s="5" t="s">
        <v>729</v>
      </c>
      <c r="F89" s="5" t="s">
        <v>729</v>
      </c>
      <c r="G89" s="4" t="s">
        <v>218</v>
      </c>
      <c r="H89" s="5">
        <v>22</v>
      </c>
      <c r="I89" s="5" t="s">
        <v>222</v>
      </c>
      <c r="J89" s="5"/>
      <c r="K89" s="5"/>
      <c r="L89" s="5"/>
      <c r="M89" s="5"/>
      <c r="N89" s="4"/>
      <c r="O89" s="4">
        <v>148</v>
      </c>
      <c r="P89" s="4">
        <v>5700</v>
      </c>
      <c r="Q89" s="4">
        <v>301</v>
      </c>
      <c r="R89" s="4">
        <v>22</v>
      </c>
      <c r="S89" s="4">
        <v>26</v>
      </c>
      <c r="T89" s="4">
        <v>14</v>
      </c>
      <c r="U89" s="4">
        <v>169</v>
      </c>
      <c r="V89" s="41">
        <v>0.8</v>
      </c>
      <c r="W89" s="4">
        <v>90</v>
      </c>
      <c r="X89" s="4">
        <v>13.8</v>
      </c>
      <c r="Y89" s="4">
        <v>1.07</v>
      </c>
      <c r="Z89" s="4"/>
      <c r="AA89" s="4">
        <v>50</v>
      </c>
      <c r="AB89" s="4">
        <v>0.65</v>
      </c>
      <c r="AC89" s="4">
        <v>139</v>
      </c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>
        <v>0</v>
      </c>
      <c r="BH89" s="4">
        <v>0</v>
      </c>
      <c r="BI89" s="4">
        <v>0</v>
      </c>
      <c r="BJ89" s="4">
        <v>0</v>
      </c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5"/>
      <c r="BX89" s="4"/>
      <c r="BY89" s="4"/>
      <c r="BZ89" s="4"/>
      <c r="CA89" s="4"/>
      <c r="CB89" s="4"/>
      <c r="CC89" s="4"/>
      <c r="CD89" s="4"/>
    </row>
    <row r="90" spans="1:82" x14ac:dyDescent="0.25">
      <c r="A90" s="4">
        <v>97</v>
      </c>
      <c r="B90" s="4" t="s">
        <v>216</v>
      </c>
      <c r="C90" s="4" t="s">
        <v>232</v>
      </c>
      <c r="D90" s="4" t="s">
        <v>729</v>
      </c>
      <c r="E90" s="5" t="s">
        <v>729</v>
      </c>
      <c r="F90" s="5" t="s">
        <v>729</v>
      </c>
      <c r="G90" s="4" t="s">
        <v>218</v>
      </c>
      <c r="H90" s="5">
        <v>29</v>
      </c>
      <c r="I90" s="5" t="s">
        <v>222</v>
      </c>
      <c r="J90" s="5"/>
      <c r="K90" s="5"/>
      <c r="L90" s="5"/>
      <c r="M90" s="5"/>
      <c r="N90" s="4"/>
      <c r="O90" s="4">
        <v>156</v>
      </c>
      <c r="P90" s="4">
        <v>5160</v>
      </c>
      <c r="Q90" s="4">
        <v>276</v>
      </c>
      <c r="R90" s="4">
        <v>26</v>
      </c>
      <c r="S90" s="4">
        <v>19</v>
      </c>
      <c r="T90" s="4">
        <v>19</v>
      </c>
      <c r="U90" s="4">
        <v>161</v>
      </c>
      <c r="V90" s="41">
        <v>0.7</v>
      </c>
      <c r="W90" s="4">
        <v>96</v>
      </c>
      <c r="X90" s="4">
        <v>13.5</v>
      </c>
      <c r="Y90" s="4">
        <v>1.03</v>
      </c>
      <c r="Z90" s="4"/>
      <c r="AA90" s="4">
        <v>46</v>
      </c>
      <c r="AB90" s="4">
        <v>0.89</v>
      </c>
      <c r="AC90" s="4">
        <v>138</v>
      </c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>
        <v>0</v>
      </c>
      <c r="BH90" s="4">
        <v>0</v>
      </c>
      <c r="BI90" s="4">
        <v>0</v>
      </c>
      <c r="BJ90" s="4">
        <v>0</v>
      </c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5"/>
      <c r="BX90" s="4"/>
      <c r="BY90" s="4"/>
      <c r="BZ90" s="4"/>
      <c r="CA90" s="4"/>
      <c r="CB90" s="4"/>
      <c r="CC90" s="4"/>
      <c r="CD90" s="4"/>
    </row>
    <row r="91" spans="1:82" x14ac:dyDescent="0.25">
      <c r="A91" s="4">
        <v>98</v>
      </c>
      <c r="B91" s="4" t="s">
        <v>216</v>
      </c>
      <c r="C91" s="4" t="s">
        <v>234</v>
      </c>
      <c r="D91" s="4" t="s">
        <v>729</v>
      </c>
      <c r="E91" s="5" t="s">
        <v>729</v>
      </c>
      <c r="F91" s="5" t="s">
        <v>729</v>
      </c>
      <c r="G91" s="4" t="s">
        <v>218</v>
      </c>
      <c r="H91" s="5">
        <v>54</v>
      </c>
      <c r="I91" s="5" t="s">
        <v>219</v>
      </c>
      <c r="J91" s="5"/>
      <c r="K91" s="5"/>
      <c r="L91" s="5"/>
      <c r="M91" s="5"/>
      <c r="N91" s="4"/>
      <c r="O91" s="4">
        <v>128</v>
      </c>
      <c r="P91" s="4">
        <v>7100</v>
      </c>
      <c r="Q91" s="4">
        <v>223</v>
      </c>
      <c r="R91" s="4">
        <v>18</v>
      </c>
      <c r="S91" s="4">
        <v>16</v>
      </c>
      <c r="T91" s="4">
        <v>24</v>
      </c>
      <c r="U91" s="4">
        <v>210</v>
      </c>
      <c r="V91" s="41">
        <v>0.5</v>
      </c>
      <c r="W91" s="4">
        <v>100</v>
      </c>
      <c r="X91" s="4">
        <v>12.9</v>
      </c>
      <c r="Y91" s="4">
        <v>0.99</v>
      </c>
      <c r="Z91" s="4"/>
      <c r="AA91" s="4">
        <v>41</v>
      </c>
      <c r="AB91" s="4">
        <v>0.77</v>
      </c>
      <c r="AC91" s="4">
        <v>137</v>
      </c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>
        <v>0</v>
      </c>
      <c r="BH91" s="4">
        <v>0</v>
      </c>
      <c r="BI91" s="4">
        <v>0</v>
      </c>
      <c r="BJ91" s="4">
        <v>0</v>
      </c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5"/>
      <c r="BX91" s="4"/>
      <c r="BY91" s="4"/>
      <c r="BZ91" s="4"/>
      <c r="CA91" s="4"/>
      <c r="CB91" s="4"/>
      <c r="CC91" s="4"/>
      <c r="CD91" s="4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2D00-0865-434F-93B5-B5D5707C9560}">
  <dimension ref="A1:E91"/>
  <sheetViews>
    <sheetView tabSelected="1" topLeftCell="A19" workbookViewId="0">
      <selection activeCell="E41" sqref="A31:E41"/>
    </sheetView>
  </sheetViews>
  <sheetFormatPr defaultRowHeight="15.75" x14ac:dyDescent="0.25"/>
  <cols>
    <col min="1" max="1" width="4.625" bestFit="1" customWidth="1"/>
    <col min="3" max="3" width="12.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</row>
    <row r="2" spans="1:5" x14ac:dyDescent="0.25">
      <c r="A2" s="4">
        <v>1</v>
      </c>
      <c r="B2" s="4" t="s">
        <v>77</v>
      </c>
      <c r="C2" s="4" t="s">
        <v>78</v>
      </c>
      <c r="D2" s="4">
        <v>119</v>
      </c>
      <c r="E2" s="4">
        <v>55</v>
      </c>
    </row>
    <row r="3" spans="1:5" x14ac:dyDescent="0.25">
      <c r="A3" s="4">
        <v>2</v>
      </c>
      <c r="B3" s="4" t="s">
        <v>77</v>
      </c>
      <c r="C3" s="4" t="s">
        <v>84</v>
      </c>
      <c r="D3" s="4">
        <v>128</v>
      </c>
      <c r="E3" s="4">
        <v>127</v>
      </c>
    </row>
    <row r="4" spans="1:5" x14ac:dyDescent="0.25">
      <c r="A4" s="4">
        <v>3</v>
      </c>
      <c r="B4" s="4" t="s">
        <v>77</v>
      </c>
      <c r="C4" s="4" t="s">
        <v>86</v>
      </c>
      <c r="D4" s="4">
        <v>195</v>
      </c>
      <c r="E4" s="4">
        <v>44</v>
      </c>
    </row>
    <row r="5" spans="1:5" x14ac:dyDescent="0.25">
      <c r="A5" s="4">
        <v>4</v>
      </c>
      <c r="B5" s="4" t="s">
        <v>77</v>
      </c>
      <c r="C5" s="4" t="s">
        <v>87</v>
      </c>
      <c r="D5" s="4">
        <v>136</v>
      </c>
      <c r="E5" s="4">
        <v>78</v>
      </c>
    </row>
    <row r="6" spans="1:5" x14ac:dyDescent="0.25">
      <c r="A6" s="4">
        <v>5</v>
      </c>
      <c r="B6" s="4" t="s">
        <v>77</v>
      </c>
      <c r="C6" s="4" t="s">
        <v>89</v>
      </c>
      <c r="D6" s="4">
        <v>226</v>
      </c>
      <c r="E6" s="4">
        <v>55</v>
      </c>
    </row>
    <row r="7" spans="1:5" x14ac:dyDescent="0.25">
      <c r="A7" s="4">
        <v>6</v>
      </c>
      <c r="B7" s="4" t="s">
        <v>77</v>
      </c>
      <c r="C7" s="4" t="s">
        <v>91</v>
      </c>
      <c r="D7" s="4">
        <v>130</v>
      </c>
      <c r="E7" s="4">
        <v>67</v>
      </c>
    </row>
    <row r="8" spans="1:5" x14ac:dyDescent="0.25">
      <c r="A8" s="4">
        <v>7</v>
      </c>
      <c r="B8" s="4" t="s">
        <v>77</v>
      </c>
      <c r="C8" s="4" t="s">
        <v>93</v>
      </c>
      <c r="D8" s="4">
        <v>175</v>
      </c>
      <c r="E8" s="4">
        <v>57</v>
      </c>
    </row>
    <row r="9" spans="1:5" x14ac:dyDescent="0.25">
      <c r="A9" s="4">
        <v>8</v>
      </c>
      <c r="B9" s="4" t="s">
        <v>77</v>
      </c>
      <c r="C9" s="4" t="s">
        <v>95</v>
      </c>
      <c r="D9" s="4">
        <v>146</v>
      </c>
      <c r="E9" s="4">
        <v>44</v>
      </c>
    </row>
    <row r="10" spans="1:5" x14ac:dyDescent="0.25">
      <c r="A10" s="4">
        <v>9</v>
      </c>
      <c r="B10" s="4" t="s">
        <v>77</v>
      </c>
      <c r="C10" s="4" t="s">
        <v>97</v>
      </c>
      <c r="D10" s="4">
        <v>66</v>
      </c>
      <c r="E10" s="4">
        <v>13</v>
      </c>
    </row>
    <row r="11" spans="1:5" x14ac:dyDescent="0.25">
      <c r="A11" s="4">
        <v>10</v>
      </c>
      <c r="B11" s="4" t="s">
        <v>98</v>
      </c>
      <c r="C11" s="4" t="s">
        <v>99</v>
      </c>
      <c r="D11" s="4">
        <v>117</v>
      </c>
      <c r="E11" s="4">
        <v>58</v>
      </c>
    </row>
    <row r="12" spans="1:5" x14ac:dyDescent="0.25">
      <c r="A12" s="4">
        <v>11</v>
      </c>
      <c r="B12" s="4" t="s">
        <v>98</v>
      </c>
      <c r="C12" s="4" t="s">
        <v>102</v>
      </c>
      <c r="D12" s="4">
        <v>100</v>
      </c>
      <c r="E12" s="4">
        <v>78</v>
      </c>
    </row>
    <row r="13" spans="1:5" x14ac:dyDescent="0.25">
      <c r="A13" s="4">
        <v>12</v>
      </c>
      <c r="B13" s="4" t="s">
        <v>98</v>
      </c>
      <c r="C13" s="4" t="s">
        <v>104</v>
      </c>
      <c r="D13" s="4">
        <v>92</v>
      </c>
      <c r="E13" s="4">
        <v>45</v>
      </c>
    </row>
    <row r="14" spans="1:5" x14ac:dyDescent="0.25">
      <c r="A14" s="4">
        <v>13</v>
      </c>
      <c r="B14" s="4" t="s">
        <v>98</v>
      </c>
      <c r="C14" s="4" t="s">
        <v>106</v>
      </c>
      <c r="D14" s="4">
        <v>255</v>
      </c>
      <c r="E14" s="4">
        <v>61</v>
      </c>
    </row>
    <row r="15" spans="1:5" x14ac:dyDescent="0.25">
      <c r="A15" s="4">
        <v>14</v>
      </c>
      <c r="B15" s="4" t="s">
        <v>98</v>
      </c>
      <c r="C15" s="4" t="s">
        <v>108</v>
      </c>
      <c r="D15" s="4">
        <v>249</v>
      </c>
      <c r="E15" s="4">
        <v>32</v>
      </c>
    </row>
    <row r="16" spans="1:5" x14ac:dyDescent="0.25">
      <c r="A16" s="4">
        <v>15</v>
      </c>
      <c r="B16" s="4" t="s">
        <v>98</v>
      </c>
      <c r="C16" s="4" t="s">
        <v>109</v>
      </c>
      <c r="D16" s="4">
        <v>125</v>
      </c>
      <c r="E16" s="4">
        <v>26</v>
      </c>
    </row>
    <row r="17" spans="1:5" x14ac:dyDescent="0.25">
      <c r="A17" s="4">
        <v>16</v>
      </c>
      <c r="B17" s="4" t="s">
        <v>98</v>
      </c>
      <c r="C17" s="4" t="s">
        <v>112</v>
      </c>
      <c r="D17" s="4">
        <v>240</v>
      </c>
      <c r="E17" s="4">
        <v>90</v>
      </c>
    </row>
    <row r="18" spans="1:5" x14ac:dyDescent="0.25">
      <c r="A18" s="4">
        <v>17</v>
      </c>
      <c r="B18" s="4" t="s">
        <v>98</v>
      </c>
      <c r="C18" s="4" t="s">
        <v>115</v>
      </c>
      <c r="D18" s="4">
        <v>117</v>
      </c>
      <c r="E18" s="4">
        <v>14</v>
      </c>
    </row>
    <row r="19" spans="1:5" x14ac:dyDescent="0.25">
      <c r="A19" s="4">
        <v>18</v>
      </c>
      <c r="B19" s="4" t="s">
        <v>98</v>
      </c>
      <c r="C19" s="4" t="s">
        <v>117</v>
      </c>
      <c r="D19" s="4">
        <v>230</v>
      </c>
      <c r="E19" s="4">
        <v>2</v>
      </c>
    </row>
    <row r="20" spans="1:5" x14ac:dyDescent="0.25">
      <c r="A20" s="4">
        <v>19</v>
      </c>
      <c r="B20" s="4" t="s">
        <v>118</v>
      </c>
      <c r="C20" s="4" t="s">
        <v>119</v>
      </c>
      <c r="D20" s="4">
        <v>276</v>
      </c>
      <c r="E20" s="4">
        <v>69</v>
      </c>
    </row>
    <row r="21" spans="1:5" x14ac:dyDescent="0.25">
      <c r="A21" s="4">
        <v>20</v>
      </c>
      <c r="B21" s="4" t="s">
        <v>118</v>
      </c>
      <c r="C21" s="4" t="s">
        <v>121</v>
      </c>
      <c r="D21" s="4">
        <v>26</v>
      </c>
      <c r="E21" s="4">
        <v>8</v>
      </c>
    </row>
    <row r="22" spans="1:5" x14ac:dyDescent="0.25">
      <c r="A22" s="4">
        <v>21</v>
      </c>
      <c r="B22" s="4" t="s">
        <v>118</v>
      </c>
      <c r="C22" s="4" t="s">
        <v>122</v>
      </c>
      <c r="D22" s="4">
        <v>104</v>
      </c>
      <c r="E22" s="4">
        <v>36</v>
      </c>
    </row>
    <row r="23" spans="1:5" x14ac:dyDescent="0.25">
      <c r="A23" s="4">
        <v>22</v>
      </c>
      <c r="B23" s="4" t="s">
        <v>118</v>
      </c>
      <c r="C23" s="4" t="s">
        <v>123</v>
      </c>
      <c r="D23" s="4">
        <v>65</v>
      </c>
      <c r="E23" s="4">
        <v>20</v>
      </c>
    </row>
    <row r="24" spans="1:5" x14ac:dyDescent="0.25">
      <c r="A24" s="4">
        <v>23</v>
      </c>
      <c r="B24" s="4" t="s">
        <v>118</v>
      </c>
      <c r="C24" s="4" t="s">
        <v>125</v>
      </c>
      <c r="D24" s="4">
        <v>117</v>
      </c>
      <c r="E24" s="4">
        <v>31</v>
      </c>
    </row>
    <row r="25" spans="1:5" x14ac:dyDescent="0.25">
      <c r="A25" s="4">
        <v>24</v>
      </c>
      <c r="B25" s="4" t="s">
        <v>118</v>
      </c>
      <c r="C25" s="4" t="s">
        <v>127</v>
      </c>
      <c r="D25" s="4">
        <v>48</v>
      </c>
      <c r="E25" s="4">
        <v>33</v>
      </c>
    </row>
    <row r="26" spans="1:5" x14ac:dyDescent="0.25">
      <c r="A26" s="4">
        <v>25</v>
      </c>
      <c r="B26" s="4" t="s">
        <v>118</v>
      </c>
      <c r="C26" s="4" t="s">
        <v>129</v>
      </c>
      <c r="D26" s="4">
        <v>35</v>
      </c>
      <c r="E26" s="4">
        <v>30</v>
      </c>
    </row>
    <row r="27" spans="1:5" x14ac:dyDescent="0.25">
      <c r="A27" s="4">
        <v>26</v>
      </c>
      <c r="B27" s="4" t="s">
        <v>118</v>
      </c>
      <c r="C27" s="4" t="s">
        <v>131</v>
      </c>
      <c r="D27" s="4">
        <v>112</v>
      </c>
      <c r="E27" s="4">
        <v>47</v>
      </c>
    </row>
    <row r="28" spans="1:5" x14ac:dyDescent="0.25">
      <c r="A28" s="4">
        <v>27</v>
      </c>
      <c r="B28" s="4" t="s">
        <v>118</v>
      </c>
      <c r="C28" s="4" t="s">
        <v>133</v>
      </c>
      <c r="D28" s="4">
        <v>54</v>
      </c>
      <c r="E28" s="4">
        <v>43</v>
      </c>
    </row>
    <row r="29" spans="1:5" x14ac:dyDescent="0.25">
      <c r="A29" s="4">
        <v>28</v>
      </c>
      <c r="B29" s="4" t="s">
        <v>118</v>
      </c>
      <c r="C29" s="4" t="s">
        <v>135</v>
      </c>
      <c r="D29" s="4">
        <v>373</v>
      </c>
      <c r="E29" s="4">
        <v>36</v>
      </c>
    </row>
    <row r="30" spans="1:5" x14ac:dyDescent="0.25">
      <c r="A30" s="4">
        <v>29</v>
      </c>
      <c r="B30" s="4" t="s">
        <v>118</v>
      </c>
      <c r="C30" s="4" t="s">
        <v>137</v>
      </c>
      <c r="D30" s="4">
        <v>325</v>
      </c>
      <c r="E30" s="4">
        <v>59</v>
      </c>
    </row>
    <row r="31" spans="1:5" x14ac:dyDescent="0.25">
      <c r="A31" s="4">
        <v>30</v>
      </c>
      <c r="B31" s="4" t="s">
        <v>139</v>
      </c>
      <c r="C31" s="4" t="s">
        <v>140</v>
      </c>
      <c r="D31" s="4">
        <v>132</v>
      </c>
      <c r="E31" s="4"/>
    </row>
    <row r="32" spans="1:5" x14ac:dyDescent="0.25">
      <c r="A32" s="4">
        <v>31</v>
      </c>
      <c r="B32" s="4" t="s">
        <v>139</v>
      </c>
      <c r="C32" s="4" t="s">
        <v>145</v>
      </c>
      <c r="D32" s="4">
        <v>135</v>
      </c>
      <c r="E32" s="4"/>
    </row>
    <row r="33" spans="1:5" x14ac:dyDescent="0.25">
      <c r="A33" s="4">
        <v>32</v>
      </c>
      <c r="B33" s="4" t="s">
        <v>139</v>
      </c>
      <c r="C33" s="4" t="s">
        <v>148</v>
      </c>
      <c r="D33" s="4">
        <v>76</v>
      </c>
      <c r="E33" s="4"/>
    </row>
    <row r="34" spans="1:5" x14ac:dyDescent="0.25">
      <c r="A34" s="4">
        <v>33</v>
      </c>
      <c r="B34" s="4" t="s">
        <v>139</v>
      </c>
      <c r="C34" s="4" t="s">
        <v>151</v>
      </c>
      <c r="D34" s="4">
        <v>127</v>
      </c>
      <c r="E34" s="4"/>
    </row>
    <row r="35" spans="1:5" x14ac:dyDescent="0.25">
      <c r="A35" s="4">
        <v>34</v>
      </c>
      <c r="B35" s="4" t="s">
        <v>139</v>
      </c>
      <c r="C35" s="4" t="s">
        <v>154</v>
      </c>
      <c r="D35" s="4">
        <v>104</v>
      </c>
      <c r="E35" s="4"/>
    </row>
    <row r="36" spans="1:5" x14ac:dyDescent="0.25">
      <c r="A36" s="4">
        <v>35</v>
      </c>
      <c r="B36" s="4" t="s">
        <v>139</v>
      </c>
      <c r="C36" s="4" t="s">
        <v>156</v>
      </c>
      <c r="D36" s="4"/>
      <c r="E36" s="4"/>
    </row>
    <row r="37" spans="1:5" x14ac:dyDescent="0.25">
      <c r="A37" s="4">
        <v>36</v>
      </c>
      <c r="B37" s="4" t="s">
        <v>139</v>
      </c>
      <c r="C37" s="4" t="s">
        <v>159</v>
      </c>
      <c r="D37" s="4">
        <v>125</v>
      </c>
      <c r="E37" s="4"/>
    </row>
    <row r="38" spans="1:5" x14ac:dyDescent="0.25">
      <c r="A38" s="4">
        <v>37</v>
      </c>
      <c r="B38" s="4" t="s">
        <v>139</v>
      </c>
      <c r="C38" s="4" t="s">
        <v>161</v>
      </c>
      <c r="D38" s="4">
        <v>128</v>
      </c>
      <c r="E38" s="4"/>
    </row>
    <row r="39" spans="1:5" x14ac:dyDescent="0.25">
      <c r="A39" s="4">
        <v>38</v>
      </c>
      <c r="B39" s="4" t="s">
        <v>139</v>
      </c>
      <c r="C39" s="4" t="s">
        <v>163</v>
      </c>
      <c r="D39" s="4">
        <v>104</v>
      </c>
      <c r="E39" s="4"/>
    </row>
    <row r="40" spans="1:5" x14ac:dyDescent="0.25">
      <c r="A40" s="4">
        <v>39</v>
      </c>
      <c r="B40" s="4" t="s">
        <v>139</v>
      </c>
      <c r="C40" s="4" t="s">
        <v>164</v>
      </c>
      <c r="D40" s="4">
        <v>97</v>
      </c>
      <c r="E40" s="4"/>
    </row>
    <row r="41" spans="1:5" x14ac:dyDescent="0.25">
      <c r="A41" s="4">
        <v>40</v>
      </c>
      <c r="B41" s="4" t="s">
        <v>139</v>
      </c>
      <c r="C41" s="4" t="s">
        <v>167</v>
      </c>
      <c r="D41" s="4">
        <v>111</v>
      </c>
      <c r="E41" s="4"/>
    </row>
    <row r="42" spans="1:5" x14ac:dyDescent="0.25">
      <c r="A42" s="4">
        <v>41</v>
      </c>
      <c r="B42" s="4" t="s">
        <v>168</v>
      </c>
      <c r="C42" s="4" t="s">
        <v>169</v>
      </c>
      <c r="D42" s="4">
        <v>102</v>
      </c>
      <c r="E42" s="4">
        <v>64</v>
      </c>
    </row>
    <row r="43" spans="1:5" x14ac:dyDescent="0.25">
      <c r="A43" s="4">
        <v>42</v>
      </c>
      <c r="B43" s="4" t="s">
        <v>168</v>
      </c>
      <c r="C43" s="4" t="s">
        <v>171</v>
      </c>
      <c r="D43" s="4">
        <v>54</v>
      </c>
      <c r="E43" s="4">
        <v>51</v>
      </c>
    </row>
    <row r="44" spans="1:5" x14ac:dyDescent="0.25">
      <c r="A44" s="4">
        <v>43</v>
      </c>
      <c r="B44" s="4" t="s">
        <v>168</v>
      </c>
      <c r="C44" s="4" t="s">
        <v>172</v>
      </c>
      <c r="D44" s="4">
        <v>136</v>
      </c>
      <c r="E44" s="4">
        <v>92</v>
      </c>
    </row>
    <row r="45" spans="1:5" x14ac:dyDescent="0.25">
      <c r="A45" s="4">
        <v>44</v>
      </c>
      <c r="B45" s="4" t="s">
        <v>168</v>
      </c>
      <c r="C45" s="4" t="s">
        <v>173</v>
      </c>
      <c r="D45" s="4">
        <v>72</v>
      </c>
      <c r="E45" s="4">
        <v>92</v>
      </c>
    </row>
    <row r="46" spans="1:5" x14ac:dyDescent="0.25">
      <c r="A46" s="4">
        <v>45</v>
      </c>
      <c r="B46" s="4" t="s">
        <v>168</v>
      </c>
      <c r="C46" s="4" t="s">
        <v>174</v>
      </c>
      <c r="D46" s="4">
        <v>67</v>
      </c>
      <c r="E46" s="4">
        <v>61</v>
      </c>
    </row>
    <row r="47" spans="1:5" x14ac:dyDescent="0.25">
      <c r="A47" s="4">
        <v>46</v>
      </c>
      <c r="B47" s="4" t="s">
        <v>168</v>
      </c>
      <c r="C47" s="4" t="s">
        <v>175</v>
      </c>
      <c r="D47" s="4">
        <v>161</v>
      </c>
      <c r="E47" s="4">
        <v>89</v>
      </c>
    </row>
    <row r="48" spans="1:5" x14ac:dyDescent="0.25">
      <c r="A48" s="4">
        <v>47</v>
      </c>
      <c r="B48" s="4" t="s">
        <v>168</v>
      </c>
      <c r="C48" s="4" t="s">
        <v>176</v>
      </c>
      <c r="D48" s="4">
        <v>63</v>
      </c>
      <c r="E48" s="4">
        <v>48</v>
      </c>
    </row>
    <row r="49" spans="1:5" x14ac:dyDescent="0.25">
      <c r="A49" s="4">
        <v>48</v>
      </c>
      <c r="B49" s="4" t="s">
        <v>168</v>
      </c>
      <c r="C49" s="4" t="s">
        <v>177</v>
      </c>
      <c r="D49" s="4">
        <v>52</v>
      </c>
      <c r="E49" s="4">
        <v>33</v>
      </c>
    </row>
    <row r="50" spans="1:5" x14ac:dyDescent="0.25">
      <c r="A50" s="4">
        <v>49</v>
      </c>
      <c r="B50" s="4" t="s">
        <v>168</v>
      </c>
      <c r="C50" s="4" t="s">
        <v>178</v>
      </c>
      <c r="D50" s="4">
        <v>112</v>
      </c>
      <c r="E50" s="4">
        <v>90</v>
      </c>
    </row>
    <row r="51" spans="1:5" x14ac:dyDescent="0.25">
      <c r="A51" s="4">
        <v>50</v>
      </c>
      <c r="B51" s="4" t="s">
        <v>168</v>
      </c>
      <c r="C51" s="4" t="s">
        <v>179</v>
      </c>
      <c r="D51" s="4">
        <v>129</v>
      </c>
      <c r="E51" s="4">
        <v>64</v>
      </c>
    </row>
    <row r="52" spans="1:5" x14ac:dyDescent="0.25">
      <c r="A52" s="4">
        <v>51</v>
      </c>
      <c r="B52" s="4" t="s">
        <v>168</v>
      </c>
      <c r="C52" s="4" t="s">
        <v>180</v>
      </c>
      <c r="D52" s="4">
        <v>160</v>
      </c>
      <c r="E52" s="4">
        <v>76</v>
      </c>
    </row>
    <row r="53" spans="1:5" x14ac:dyDescent="0.25">
      <c r="A53" s="4">
        <v>52</v>
      </c>
      <c r="B53" s="4" t="s">
        <v>168</v>
      </c>
      <c r="C53" s="4" t="s">
        <v>181</v>
      </c>
      <c r="D53" s="4">
        <v>204</v>
      </c>
      <c r="E53" s="4">
        <v>84</v>
      </c>
    </row>
    <row r="54" spans="1:5" x14ac:dyDescent="0.25">
      <c r="A54" s="4">
        <v>53</v>
      </c>
      <c r="B54" s="4" t="s">
        <v>182</v>
      </c>
      <c r="C54" s="4" t="s">
        <v>183</v>
      </c>
      <c r="D54" s="4">
        <v>55</v>
      </c>
      <c r="E54" s="4">
        <v>66</v>
      </c>
    </row>
    <row r="55" spans="1:5" x14ac:dyDescent="0.25">
      <c r="A55" s="4">
        <v>54</v>
      </c>
      <c r="B55" s="4" t="s">
        <v>182</v>
      </c>
      <c r="C55" s="4" t="s">
        <v>185</v>
      </c>
      <c r="D55" s="4">
        <v>55</v>
      </c>
      <c r="E55" s="4">
        <v>85</v>
      </c>
    </row>
    <row r="56" spans="1:5" x14ac:dyDescent="0.25">
      <c r="A56" s="4">
        <v>55</v>
      </c>
      <c r="B56" s="4" t="s">
        <v>182</v>
      </c>
      <c r="C56" s="4" t="s">
        <v>186</v>
      </c>
      <c r="D56" s="4">
        <v>89</v>
      </c>
      <c r="E56" s="4">
        <v>110</v>
      </c>
    </row>
    <row r="57" spans="1:5" x14ac:dyDescent="0.25">
      <c r="A57" s="4">
        <v>56</v>
      </c>
      <c r="B57" s="4" t="s">
        <v>182</v>
      </c>
      <c r="C57" s="4" t="s">
        <v>187</v>
      </c>
      <c r="D57" s="4">
        <v>123</v>
      </c>
      <c r="E57" s="4">
        <v>141</v>
      </c>
    </row>
    <row r="58" spans="1:5" x14ac:dyDescent="0.25">
      <c r="A58" s="4">
        <v>57</v>
      </c>
      <c r="B58" s="4" t="s">
        <v>182</v>
      </c>
      <c r="C58" s="4" t="s">
        <v>188</v>
      </c>
      <c r="D58" s="4">
        <v>42</v>
      </c>
      <c r="E58" s="4">
        <v>40</v>
      </c>
    </row>
    <row r="59" spans="1:5" x14ac:dyDescent="0.25">
      <c r="A59" s="4">
        <v>58</v>
      </c>
      <c r="B59" s="4" t="s">
        <v>182</v>
      </c>
      <c r="C59" s="4" t="s">
        <v>189</v>
      </c>
      <c r="D59" s="4">
        <v>39</v>
      </c>
      <c r="E59" s="4">
        <v>88</v>
      </c>
    </row>
    <row r="60" spans="1:5" x14ac:dyDescent="0.25">
      <c r="A60" s="4">
        <v>59</v>
      </c>
      <c r="B60" s="4" t="s">
        <v>182</v>
      </c>
      <c r="C60" s="4" t="s">
        <v>190</v>
      </c>
      <c r="D60" s="4">
        <v>54</v>
      </c>
      <c r="E60" s="4">
        <v>122</v>
      </c>
    </row>
    <row r="61" spans="1:5" x14ac:dyDescent="0.25">
      <c r="A61" s="4">
        <v>60</v>
      </c>
      <c r="B61" s="4" t="s">
        <v>182</v>
      </c>
      <c r="C61" s="4" t="s">
        <v>191</v>
      </c>
      <c r="D61" s="4">
        <v>54</v>
      </c>
      <c r="E61" s="4">
        <v>85</v>
      </c>
    </row>
    <row r="62" spans="1:5" x14ac:dyDescent="0.25">
      <c r="A62" s="4">
        <v>61</v>
      </c>
      <c r="B62" s="4" t="s">
        <v>182</v>
      </c>
      <c r="C62" s="4" t="s">
        <v>192</v>
      </c>
      <c r="D62" s="4">
        <v>33</v>
      </c>
      <c r="E62" s="4">
        <v>41</v>
      </c>
    </row>
    <row r="63" spans="1:5" x14ac:dyDescent="0.25">
      <c r="A63" s="4">
        <v>62</v>
      </c>
      <c r="B63" s="4" t="s">
        <v>182</v>
      </c>
      <c r="C63" s="4" t="s">
        <v>193</v>
      </c>
      <c r="D63" s="4">
        <v>44</v>
      </c>
      <c r="E63" s="4">
        <v>73</v>
      </c>
    </row>
    <row r="64" spans="1:5" x14ac:dyDescent="0.25">
      <c r="A64" s="4">
        <v>63</v>
      </c>
      <c r="B64" s="4" t="s">
        <v>194</v>
      </c>
      <c r="C64" s="4" t="s">
        <v>195</v>
      </c>
      <c r="D64" s="4">
        <v>28</v>
      </c>
      <c r="E64" s="4">
        <v>40</v>
      </c>
    </row>
    <row r="65" spans="1:5" x14ac:dyDescent="0.25">
      <c r="A65" s="4">
        <v>64</v>
      </c>
      <c r="B65" s="4" t="s">
        <v>194</v>
      </c>
      <c r="C65" s="4" t="s">
        <v>197</v>
      </c>
      <c r="D65" s="4">
        <v>24</v>
      </c>
      <c r="E65" s="4">
        <v>52</v>
      </c>
    </row>
    <row r="66" spans="1:5" x14ac:dyDescent="0.25">
      <c r="A66" s="4">
        <v>65</v>
      </c>
      <c r="B66" s="4" t="s">
        <v>194</v>
      </c>
      <c r="C66" s="4" t="s">
        <v>198</v>
      </c>
      <c r="D66" s="4">
        <v>65</v>
      </c>
      <c r="E66" s="4">
        <v>117</v>
      </c>
    </row>
    <row r="67" spans="1:5" x14ac:dyDescent="0.25">
      <c r="A67" s="4">
        <v>66</v>
      </c>
      <c r="B67" s="4" t="s">
        <v>194</v>
      </c>
      <c r="C67" s="4" t="s">
        <v>199</v>
      </c>
      <c r="D67" s="4">
        <v>32</v>
      </c>
      <c r="E67" s="4">
        <v>29</v>
      </c>
    </row>
    <row r="68" spans="1:5" x14ac:dyDescent="0.25">
      <c r="A68" s="4">
        <v>67</v>
      </c>
      <c r="B68" s="4" t="s">
        <v>194</v>
      </c>
      <c r="C68" s="4" t="s">
        <v>200</v>
      </c>
      <c r="D68" s="4">
        <v>24</v>
      </c>
      <c r="E68" s="4">
        <v>40</v>
      </c>
    </row>
    <row r="69" spans="1:5" x14ac:dyDescent="0.25">
      <c r="A69" s="4">
        <v>68</v>
      </c>
      <c r="B69" s="4" t="s">
        <v>194</v>
      </c>
      <c r="C69" s="4" t="s">
        <v>201</v>
      </c>
      <c r="D69" s="4">
        <v>28</v>
      </c>
      <c r="E69" s="4">
        <v>23</v>
      </c>
    </row>
    <row r="70" spans="1:5" x14ac:dyDescent="0.25">
      <c r="A70" s="4">
        <v>69</v>
      </c>
      <c r="B70" s="4" t="s">
        <v>194</v>
      </c>
      <c r="C70" s="4" t="s">
        <v>202</v>
      </c>
      <c r="D70" s="4">
        <v>34</v>
      </c>
      <c r="E70" s="4">
        <v>37</v>
      </c>
    </row>
    <row r="71" spans="1:5" x14ac:dyDescent="0.25">
      <c r="A71" s="4">
        <v>70</v>
      </c>
      <c r="B71" s="4" t="s">
        <v>194</v>
      </c>
      <c r="C71" s="4" t="s">
        <v>203</v>
      </c>
      <c r="D71" s="4">
        <v>37</v>
      </c>
      <c r="E71" s="4">
        <v>42</v>
      </c>
    </row>
    <row r="72" spans="1:5" x14ac:dyDescent="0.25">
      <c r="A72" s="4">
        <v>71</v>
      </c>
      <c r="B72" s="4" t="s">
        <v>194</v>
      </c>
      <c r="C72" s="4" t="s">
        <v>204</v>
      </c>
      <c r="D72" s="4"/>
      <c r="E72" s="4"/>
    </row>
    <row r="73" spans="1:5" x14ac:dyDescent="0.25">
      <c r="A73" s="4">
        <v>72</v>
      </c>
      <c r="B73" s="4" t="s">
        <v>205</v>
      </c>
      <c r="C73" s="4" t="s">
        <v>206</v>
      </c>
      <c r="D73" s="4">
        <v>223</v>
      </c>
      <c r="E73" s="4">
        <v>276</v>
      </c>
    </row>
    <row r="74" spans="1:5" x14ac:dyDescent="0.25">
      <c r="A74" s="4">
        <v>73</v>
      </c>
      <c r="B74" s="4" t="s">
        <v>205</v>
      </c>
      <c r="C74" s="4" t="s">
        <v>208</v>
      </c>
      <c r="D74" s="4">
        <v>66</v>
      </c>
      <c r="E74" s="4">
        <v>124</v>
      </c>
    </row>
    <row r="75" spans="1:5" x14ac:dyDescent="0.25">
      <c r="A75" s="4">
        <v>74</v>
      </c>
      <c r="B75" s="4" t="s">
        <v>205</v>
      </c>
      <c r="C75" s="4" t="s">
        <v>209</v>
      </c>
      <c r="D75" s="4">
        <v>99</v>
      </c>
      <c r="E75" s="4">
        <v>155</v>
      </c>
    </row>
    <row r="76" spans="1:5" x14ac:dyDescent="0.25">
      <c r="A76" s="4">
        <v>75</v>
      </c>
      <c r="B76" s="4" t="s">
        <v>205</v>
      </c>
      <c r="C76" s="4" t="s">
        <v>210</v>
      </c>
      <c r="D76" s="4">
        <v>116</v>
      </c>
      <c r="E76" s="4">
        <v>156</v>
      </c>
    </row>
    <row r="77" spans="1:5" x14ac:dyDescent="0.25">
      <c r="A77" s="4">
        <v>76</v>
      </c>
      <c r="B77" s="4" t="s">
        <v>205</v>
      </c>
      <c r="C77" s="4" t="s">
        <v>211</v>
      </c>
      <c r="D77" s="4">
        <v>86</v>
      </c>
      <c r="E77" s="4">
        <v>99</v>
      </c>
    </row>
    <row r="78" spans="1:5" x14ac:dyDescent="0.25">
      <c r="A78" s="4">
        <v>77</v>
      </c>
      <c r="B78" s="4" t="s">
        <v>205</v>
      </c>
      <c r="C78" s="4" t="s">
        <v>212</v>
      </c>
      <c r="D78" s="4">
        <v>63</v>
      </c>
      <c r="E78" s="4">
        <v>113</v>
      </c>
    </row>
    <row r="79" spans="1:5" x14ac:dyDescent="0.25">
      <c r="A79" s="4">
        <v>78</v>
      </c>
      <c r="B79" s="4" t="s">
        <v>205</v>
      </c>
      <c r="C79" s="4" t="s">
        <v>213</v>
      </c>
      <c r="D79" s="4">
        <v>95</v>
      </c>
      <c r="E79" s="4">
        <v>103</v>
      </c>
    </row>
    <row r="80" spans="1:5" x14ac:dyDescent="0.25">
      <c r="A80" s="4">
        <v>79</v>
      </c>
      <c r="B80" s="4" t="s">
        <v>205</v>
      </c>
      <c r="C80" s="4" t="s">
        <v>214</v>
      </c>
      <c r="D80" s="4">
        <v>63</v>
      </c>
      <c r="E80" s="4">
        <v>56</v>
      </c>
    </row>
    <row r="81" spans="1:5" x14ac:dyDescent="0.25">
      <c r="A81" s="4">
        <v>80</v>
      </c>
      <c r="B81" s="4" t="s">
        <v>205</v>
      </c>
      <c r="C81" s="4" t="s">
        <v>215</v>
      </c>
      <c r="D81" s="4">
        <v>53</v>
      </c>
      <c r="E81" s="4">
        <v>33</v>
      </c>
    </row>
    <row r="82" spans="1:5" x14ac:dyDescent="0.25">
      <c r="A82" s="4">
        <v>89</v>
      </c>
      <c r="B82" s="4" t="s">
        <v>216</v>
      </c>
      <c r="C82" s="4" t="s">
        <v>217</v>
      </c>
      <c r="D82" s="4">
        <v>15</v>
      </c>
      <c r="E82" s="4">
        <v>11</v>
      </c>
    </row>
    <row r="83" spans="1:5" x14ac:dyDescent="0.25">
      <c r="A83" s="4">
        <v>90</v>
      </c>
      <c r="B83" s="4" t="s">
        <v>216</v>
      </c>
      <c r="C83" s="4" t="s">
        <v>220</v>
      </c>
      <c r="D83" s="4">
        <v>20</v>
      </c>
      <c r="E83" s="4">
        <v>11</v>
      </c>
    </row>
    <row r="84" spans="1:5" x14ac:dyDescent="0.25">
      <c r="A84" s="4">
        <v>91</v>
      </c>
      <c r="B84" s="4" t="s">
        <v>216</v>
      </c>
      <c r="C84" s="4" t="s">
        <v>221</v>
      </c>
      <c r="D84" s="4">
        <v>21</v>
      </c>
      <c r="E84" s="4">
        <v>24</v>
      </c>
    </row>
    <row r="85" spans="1:5" x14ac:dyDescent="0.25">
      <c r="A85" s="4">
        <v>92</v>
      </c>
      <c r="B85" s="4" t="s">
        <v>216</v>
      </c>
      <c r="C85" s="4" t="s">
        <v>223</v>
      </c>
      <c r="D85" s="4">
        <v>25</v>
      </c>
      <c r="E85" s="4">
        <v>33</v>
      </c>
    </row>
    <row r="86" spans="1:5" x14ac:dyDescent="0.25">
      <c r="A86" s="4">
        <v>93</v>
      </c>
      <c r="B86" s="4" t="s">
        <v>216</v>
      </c>
      <c r="C86" s="4" t="s">
        <v>224</v>
      </c>
      <c r="D86" s="4">
        <v>19</v>
      </c>
      <c r="E86" s="4">
        <v>26</v>
      </c>
    </row>
    <row r="87" spans="1:5" x14ac:dyDescent="0.25">
      <c r="A87" s="4">
        <v>94</v>
      </c>
      <c r="B87" s="4" t="s">
        <v>216</v>
      </c>
      <c r="C87" s="4" t="s">
        <v>226</v>
      </c>
      <c r="D87" s="4">
        <v>28</v>
      </c>
      <c r="E87" s="4">
        <v>50</v>
      </c>
    </row>
    <row r="88" spans="1:5" x14ac:dyDescent="0.25">
      <c r="A88" s="4">
        <v>95</v>
      </c>
      <c r="B88" s="4" t="s">
        <v>216</v>
      </c>
      <c r="C88" s="4" t="s">
        <v>228</v>
      </c>
      <c r="D88" s="4">
        <v>28</v>
      </c>
      <c r="E88" s="4">
        <v>38</v>
      </c>
    </row>
    <row r="89" spans="1:5" x14ac:dyDescent="0.25">
      <c r="A89" s="4">
        <v>96</v>
      </c>
      <c r="B89" s="4" t="s">
        <v>216</v>
      </c>
      <c r="C89" s="4" t="s">
        <v>230</v>
      </c>
      <c r="D89" s="4">
        <v>22</v>
      </c>
      <c r="E89" s="4">
        <v>26</v>
      </c>
    </row>
    <row r="90" spans="1:5" x14ac:dyDescent="0.25">
      <c r="A90" s="4">
        <v>97</v>
      </c>
      <c r="B90" s="4" t="s">
        <v>216</v>
      </c>
      <c r="C90" s="4" t="s">
        <v>232</v>
      </c>
      <c r="D90" s="4">
        <v>26</v>
      </c>
      <c r="E90" s="4">
        <v>19</v>
      </c>
    </row>
    <row r="91" spans="1:5" x14ac:dyDescent="0.25">
      <c r="A91" s="4">
        <v>98</v>
      </c>
      <c r="B91" s="4" t="s">
        <v>216</v>
      </c>
      <c r="C91" s="4" t="s">
        <v>234</v>
      </c>
      <c r="D91" s="4">
        <v>18</v>
      </c>
      <c r="E91" s="4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1"/>
  <sheetViews>
    <sheetView workbookViewId="0">
      <selection activeCell="H10" sqref="H10"/>
    </sheetView>
  </sheetViews>
  <sheetFormatPr defaultRowHeight="15.75" x14ac:dyDescent="0.25"/>
  <cols>
    <col min="1" max="1" width="8.375" customWidth="1"/>
    <col min="2" max="2" width="9" style="14"/>
    <col min="7" max="7" width="17.25" customWidth="1"/>
  </cols>
  <sheetData>
    <row r="1" spans="1:8" x14ac:dyDescent="0.25">
      <c r="A1" s="1" t="s">
        <v>736</v>
      </c>
      <c r="B1" s="2" t="s">
        <v>3</v>
      </c>
      <c r="G1" s="1" t="s">
        <v>736</v>
      </c>
      <c r="H1" t="s">
        <v>3</v>
      </c>
    </row>
    <row r="2" spans="1:8" x14ac:dyDescent="0.25">
      <c r="A2" s="4" t="s">
        <v>737</v>
      </c>
      <c r="B2" s="5">
        <v>39</v>
      </c>
      <c r="G2" s="4" t="s">
        <v>737</v>
      </c>
      <c r="H2">
        <f>MEDIAN(B2:B19)</f>
        <v>51</v>
      </c>
    </row>
    <row r="3" spans="1:8" x14ac:dyDescent="0.25">
      <c r="A3" s="4" t="s">
        <v>737</v>
      </c>
      <c r="B3" s="5">
        <v>42</v>
      </c>
      <c r="G3" s="4" t="s">
        <v>738</v>
      </c>
      <c r="H3">
        <f>MEDIAN(B20:B30)</f>
        <v>46</v>
      </c>
    </row>
    <row r="4" spans="1:8" x14ac:dyDescent="0.25">
      <c r="A4" s="4" t="s">
        <v>737</v>
      </c>
      <c r="B4" s="5">
        <v>48</v>
      </c>
      <c r="G4" s="4" t="s">
        <v>726</v>
      </c>
      <c r="H4">
        <f>MEDIAN(B31:B38,B40)</f>
        <v>45</v>
      </c>
    </row>
    <row r="5" spans="1:8" x14ac:dyDescent="0.25">
      <c r="A5" s="4" t="s">
        <v>737</v>
      </c>
      <c r="B5" s="5">
        <v>65</v>
      </c>
      <c r="G5" s="4" t="s">
        <v>727</v>
      </c>
      <c r="H5">
        <f>MEDIAN(B42:B53)</f>
        <v>52</v>
      </c>
    </row>
    <row r="6" spans="1:8" x14ac:dyDescent="0.25">
      <c r="A6" s="4" t="s">
        <v>737</v>
      </c>
      <c r="B6" s="5">
        <v>57</v>
      </c>
      <c r="G6" s="4" t="s">
        <v>184</v>
      </c>
      <c r="H6">
        <f>MEDIAN(B54:B63)</f>
        <v>46</v>
      </c>
    </row>
    <row r="7" spans="1:8" x14ac:dyDescent="0.25">
      <c r="A7" s="4" t="s">
        <v>737</v>
      </c>
      <c r="B7" s="5">
        <v>47</v>
      </c>
      <c r="G7" s="4" t="s">
        <v>196</v>
      </c>
      <c r="H7">
        <f>MEDIAN(B64:B71)</f>
        <v>49.5</v>
      </c>
    </row>
    <row r="8" spans="1:8" x14ac:dyDescent="0.25">
      <c r="A8" s="4" t="s">
        <v>737</v>
      </c>
      <c r="B8" s="5">
        <v>52</v>
      </c>
      <c r="G8" s="4" t="s">
        <v>728</v>
      </c>
      <c r="H8">
        <f>MEDIAN(B73:B81)</f>
        <v>61</v>
      </c>
    </row>
    <row r="9" spans="1:8" x14ac:dyDescent="0.25">
      <c r="A9" s="4" t="s">
        <v>737</v>
      </c>
      <c r="B9" s="5">
        <v>30</v>
      </c>
      <c r="G9" s="4" t="s">
        <v>729</v>
      </c>
      <c r="H9">
        <f>MEDIAN(B82:B91)</f>
        <v>32</v>
      </c>
    </row>
    <row r="10" spans="1:8" x14ac:dyDescent="0.25">
      <c r="A10" s="4" t="s">
        <v>737</v>
      </c>
      <c r="B10" s="5">
        <v>55</v>
      </c>
    </row>
    <row r="11" spans="1:8" x14ac:dyDescent="0.25">
      <c r="A11" s="4" t="s">
        <v>737</v>
      </c>
      <c r="B11" s="5">
        <v>50</v>
      </c>
    </row>
    <row r="12" spans="1:8" x14ac:dyDescent="0.25">
      <c r="A12" s="4" t="s">
        <v>737</v>
      </c>
      <c r="B12" s="5">
        <v>48</v>
      </c>
    </row>
    <row r="13" spans="1:8" x14ac:dyDescent="0.25">
      <c r="A13" s="4" t="s">
        <v>737</v>
      </c>
      <c r="B13" s="5">
        <v>29</v>
      </c>
    </row>
    <row r="14" spans="1:8" x14ac:dyDescent="0.25">
      <c r="A14" s="4" t="s">
        <v>737</v>
      </c>
      <c r="B14" s="5">
        <v>60</v>
      </c>
    </row>
    <row r="15" spans="1:8" x14ac:dyDescent="0.25">
      <c r="A15" s="4" t="s">
        <v>737</v>
      </c>
      <c r="B15" s="5">
        <v>56</v>
      </c>
    </row>
    <row r="16" spans="1:8" x14ac:dyDescent="0.25">
      <c r="A16" s="4" t="s">
        <v>737</v>
      </c>
      <c r="B16" s="5">
        <v>49</v>
      </c>
    </row>
    <row r="17" spans="1:2" x14ac:dyDescent="0.25">
      <c r="A17" s="4" t="s">
        <v>737</v>
      </c>
      <c r="B17" s="5">
        <v>65</v>
      </c>
    </row>
    <row r="18" spans="1:2" x14ac:dyDescent="0.25">
      <c r="A18" s="4" t="s">
        <v>737</v>
      </c>
      <c r="B18" s="5">
        <v>58</v>
      </c>
    </row>
    <row r="19" spans="1:2" x14ac:dyDescent="0.25">
      <c r="A19" s="4" t="s">
        <v>737</v>
      </c>
      <c r="B19" s="5">
        <v>58</v>
      </c>
    </row>
    <row r="20" spans="1:2" x14ac:dyDescent="0.25">
      <c r="A20" s="4" t="s">
        <v>738</v>
      </c>
      <c r="B20" s="5">
        <v>46</v>
      </c>
    </row>
    <row r="21" spans="1:2" x14ac:dyDescent="0.25">
      <c r="A21" s="4" t="s">
        <v>738</v>
      </c>
      <c r="B21" s="5">
        <v>46</v>
      </c>
    </row>
    <row r="22" spans="1:2" x14ac:dyDescent="0.25">
      <c r="A22" s="4" t="s">
        <v>738</v>
      </c>
      <c r="B22" s="5">
        <v>52</v>
      </c>
    </row>
    <row r="23" spans="1:2" x14ac:dyDescent="0.25">
      <c r="A23" s="4" t="s">
        <v>738</v>
      </c>
      <c r="B23" s="5">
        <v>41</v>
      </c>
    </row>
    <row r="24" spans="1:2" x14ac:dyDescent="0.25">
      <c r="A24" s="4" t="s">
        <v>738</v>
      </c>
      <c r="B24" s="5">
        <v>44</v>
      </c>
    </row>
    <row r="25" spans="1:2" x14ac:dyDescent="0.25">
      <c r="A25" s="4" t="s">
        <v>738</v>
      </c>
      <c r="B25" s="5">
        <v>39</v>
      </c>
    </row>
    <row r="26" spans="1:2" x14ac:dyDescent="0.25">
      <c r="A26" s="4" t="s">
        <v>738</v>
      </c>
      <c r="B26" s="5">
        <v>51</v>
      </c>
    </row>
    <row r="27" spans="1:2" x14ac:dyDescent="0.25">
      <c r="A27" s="4" t="s">
        <v>738</v>
      </c>
      <c r="B27" s="5">
        <v>48</v>
      </c>
    </row>
    <row r="28" spans="1:2" x14ac:dyDescent="0.25">
      <c r="A28" s="4" t="s">
        <v>738</v>
      </c>
      <c r="B28" s="5">
        <v>54</v>
      </c>
    </row>
    <row r="29" spans="1:2" x14ac:dyDescent="0.25">
      <c r="A29" s="4" t="s">
        <v>738</v>
      </c>
      <c r="B29" s="5">
        <v>34</v>
      </c>
    </row>
    <row r="30" spans="1:2" x14ac:dyDescent="0.25">
      <c r="A30" s="4" t="s">
        <v>738</v>
      </c>
      <c r="B30" s="5">
        <v>45</v>
      </c>
    </row>
    <row r="31" spans="1:2" x14ac:dyDescent="0.25">
      <c r="A31" s="4" t="s">
        <v>726</v>
      </c>
      <c r="B31" s="5">
        <v>43</v>
      </c>
    </row>
    <row r="32" spans="1:2" x14ac:dyDescent="0.25">
      <c r="A32" s="4" t="s">
        <v>726</v>
      </c>
      <c r="B32" s="5">
        <v>52</v>
      </c>
    </row>
    <row r="33" spans="1:2" x14ac:dyDescent="0.25">
      <c r="A33" s="4" t="s">
        <v>726</v>
      </c>
      <c r="B33" s="5">
        <v>41</v>
      </c>
    </row>
    <row r="34" spans="1:2" x14ac:dyDescent="0.25">
      <c r="A34" s="4" t="s">
        <v>726</v>
      </c>
      <c r="B34" s="5">
        <v>45</v>
      </c>
    </row>
    <row r="35" spans="1:2" x14ac:dyDescent="0.25">
      <c r="A35" s="4" t="s">
        <v>726</v>
      </c>
      <c r="B35" s="5">
        <v>59</v>
      </c>
    </row>
    <row r="36" spans="1:2" x14ac:dyDescent="0.25">
      <c r="A36" s="4" t="s">
        <v>726</v>
      </c>
      <c r="B36" s="5">
        <v>48</v>
      </c>
    </row>
    <row r="37" spans="1:2" x14ac:dyDescent="0.25">
      <c r="A37" s="4" t="s">
        <v>726</v>
      </c>
      <c r="B37" s="5">
        <v>40</v>
      </c>
    </row>
    <row r="38" spans="1:2" x14ac:dyDescent="0.25">
      <c r="A38" s="4" t="s">
        <v>726</v>
      </c>
      <c r="B38" s="5">
        <v>38</v>
      </c>
    </row>
    <row r="39" spans="1:2" x14ac:dyDescent="0.25">
      <c r="A39" s="4" t="s">
        <v>726</v>
      </c>
      <c r="B39" s="5"/>
    </row>
    <row r="40" spans="1:2" x14ac:dyDescent="0.25">
      <c r="A40" s="4" t="s">
        <v>726</v>
      </c>
      <c r="B40" s="5">
        <v>64</v>
      </c>
    </row>
    <row r="41" spans="1:2" x14ac:dyDescent="0.25">
      <c r="A41" s="4" t="s">
        <v>726</v>
      </c>
      <c r="B41" s="5"/>
    </row>
    <row r="42" spans="1:2" x14ac:dyDescent="0.25">
      <c r="A42" s="4" t="s">
        <v>727</v>
      </c>
      <c r="B42" s="5">
        <v>58</v>
      </c>
    </row>
    <row r="43" spans="1:2" x14ac:dyDescent="0.25">
      <c r="A43" s="4" t="s">
        <v>727</v>
      </c>
      <c r="B43" s="5">
        <v>49</v>
      </c>
    </row>
    <row r="44" spans="1:2" x14ac:dyDescent="0.25">
      <c r="A44" s="4" t="s">
        <v>727</v>
      </c>
      <c r="B44" s="5">
        <v>39</v>
      </c>
    </row>
    <row r="45" spans="1:2" x14ac:dyDescent="0.25">
      <c r="A45" s="4" t="s">
        <v>727</v>
      </c>
      <c r="B45" s="5">
        <v>55</v>
      </c>
    </row>
    <row r="46" spans="1:2" x14ac:dyDescent="0.25">
      <c r="A46" s="4" t="s">
        <v>727</v>
      </c>
      <c r="B46" s="5">
        <v>47</v>
      </c>
    </row>
    <row r="47" spans="1:2" x14ac:dyDescent="0.25">
      <c r="A47" s="4" t="s">
        <v>727</v>
      </c>
      <c r="B47" s="5">
        <v>48</v>
      </c>
    </row>
    <row r="48" spans="1:2" x14ac:dyDescent="0.25">
      <c r="A48" s="4" t="s">
        <v>727</v>
      </c>
      <c r="B48" s="5">
        <v>60</v>
      </c>
    </row>
    <row r="49" spans="1:2" x14ac:dyDescent="0.25">
      <c r="A49" s="4" t="s">
        <v>727</v>
      </c>
      <c r="B49" s="5">
        <v>56</v>
      </c>
    </row>
    <row r="50" spans="1:2" x14ac:dyDescent="0.25">
      <c r="A50" s="4" t="s">
        <v>727</v>
      </c>
      <c r="B50" s="5">
        <v>49</v>
      </c>
    </row>
    <row r="51" spans="1:2" x14ac:dyDescent="0.25">
      <c r="A51" s="4" t="s">
        <v>727</v>
      </c>
      <c r="B51" s="5">
        <v>69</v>
      </c>
    </row>
    <row r="52" spans="1:2" x14ac:dyDescent="0.25">
      <c r="A52" s="4" t="s">
        <v>727</v>
      </c>
      <c r="B52" s="5">
        <v>49</v>
      </c>
    </row>
    <row r="53" spans="1:2" x14ac:dyDescent="0.25">
      <c r="A53" s="4" t="s">
        <v>727</v>
      </c>
      <c r="B53" s="5">
        <v>59</v>
      </c>
    </row>
    <row r="54" spans="1:2" x14ac:dyDescent="0.25">
      <c r="A54" s="4" t="s">
        <v>184</v>
      </c>
      <c r="B54" s="5">
        <v>68</v>
      </c>
    </row>
    <row r="55" spans="1:2" x14ac:dyDescent="0.25">
      <c r="A55" s="4" t="s">
        <v>184</v>
      </c>
      <c r="B55" s="5">
        <v>44</v>
      </c>
    </row>
    <row r="56" spans="1:2" x14ac:dyDescent="0.25">
      <c r="A56" s="4" t="s">
        <v>184</v>
      </c>
      <c r="B56" s="5">
        <v>67</v>
      </c>
    </row>
    <row r="57" spans="1:2" x14ac:dyDescent="0.25">
      <c r="A57" s="4" t="s">
        <v>184</v>
      </c>
      <c r="B57" s="5">
        <v>61</v>
      </c>
    </row>
    <row r="58" spans="1:2" x14ac:dyDescent="0.25">
      <c r="A58" s="4" t="s">
        <v>184</v>
      </c>
      <c r="B58" s="5">
        <v>50</v>
      </c>
    </row>
    <row r="59" spans="1:2" x14ac:dyDescent="0.25">
      <c r="A59" s="4" t="s">
        <v>184</v>
      </c>
      <c r="B59" s="5">
        <v>46</v>
      </c>
    </row>
    <row r="60" spans="1:2" x14ac:dyDescent="0.25">
      <c r="A60" s="4" t="s">
        <v>184</v>
      </c>
      <c r="B60" s="5">
        <v>35</v>
      </c>
    </row>
    <row r="61" spans="1:2" x14ac:dyDescent="0.25">
      <c r="A61" s="4" t="s">
        <v>184</v>
      </c>
      <c r="B61" s="5">
        <v>40</v>
      </c>
    </row>
    <row r="62" spans="1:2" x14ac:dyDescent="0.25">
      <c r="A62" s="4" t="s">
        <v>184</v>
      </c>
      <c r="B62" s="5">
        <v>45</v>
      </c>
    </row>
    <row r="63" spans="1:2" x14ac:dyDescent="0.25">
      <c r="A63" s="4" t="s">
        <v>184</v>
      </c>
      <c r="B63" s="5">
        <v>46</v>
      </c>
    </row>
    <row r="64" spans="1:2" x14ac:dyDescent="0.25">
      <c r="A64" s="4" t="s">
        <v>196</v>
      </c>
      <c r="B64" s="5">
        <v>53</v>
      </c>
    </row>
    <row r="65" spans="1:2" x14ac:dyDescent="0.25">
      <c r="A65" s="4" t="s">
        <v>196</v>
      </c>
      <c r="B65" s="5">
        <v>52</v>
      </c>
    </row>
    <row r="66" spans="1:2" x14ac:dyDescent="0.25">
      <c r="A66" s="4" t="s">
        <v>196</v>
      </c>
      <c r="B66" s="5">
        <v>65</v>
      </c>
    </row>
    <row r="67" spans="1:2" x14ac:dyDescent="0.25">
      <c r="A67" s="4" t="s">
        <v>196</v>
      </c>
      <c r="B67" s="5">
        <v>37</v>
      </c>
    </row>
    <row r="68" spans="1:2" x14ac:dyDescent="0.25">
      <c r="A68" s="4" t="s">
        <v>196</v>
      </c>
      <c r="B68" s="5">
        <v>42</v>
      </c>
    </row>
    <row r="69" spans="1:2" x14ac:dyDescent="0.25">
      <c r="A69" s="4" t="s">
        <v>196</v>
      </c>
      <c r="B69" s="5">
        <v>46</v>
      </c>
    </row>
    <row r="70" spans="1:2" x14ac:dyDescent="0.25">
      <c r="A70" s="4" t="s">
        <v>196</v>
      </c>
      <c r="B70" s="5">
        <v>47</v>
      </c>
    </row>
    <row r="71" spans="1:2" x14ac:dyDescent="0.25">
      <c r="A71" s="4" t="s">
        <v>196</v>
      </c>
      <c r="B71" s="5">
        <v>53</v>
      </c>
    </row>
    <row r="72" spans="1:2" x14ac:dyDescent="0.25">
      <c r="A72" s="4" t="s">
        <v>196</v>
      </c>
      <c r="B72" s="6"/>
    </row>
    <row r="73" spans="1:2" x14ac:dyDescent="0.25">
      <c r="A73" s="4" t="s">
        <v>728</v>
      </c>
      <c r="B73" s="5">
        <v>46</v>
      </c>
    </row>
    <row r="74" spans="1:2" x14ac:dyDescent="0.25">
      <c r="A74" s="4" t="s">
        <v>728</v>
      </c>
      <c r="B74" s="5">
        <v>67</v>
      </c>
    </row>
    <row r="75" spans="1:2" x14ac:dyDescent="0.25">
      <c r="A75" s="4" t="s">
        <v>728</v>
      </c>
      <c r="B75" s="5">
        <v>64</v>
      </c>
    </row>
    <row r="76" spans="1:2" x14ac:dyDescent="0.25">
      <c r="A76" s="4" t="s">
        <v>728</v>
      </c>
      <c r="B76" s="5">
        <v>61</v>
      </c>
    </row>
    <row r="77" spans="1:2" x14ac:dyDescent="0.25">
      <c r="A77" s="4" t="s">
        <v>728</v>
      </c>
      <c r="B77" s="5">
        <v>61</v>
      </c>
    </row>
    <row r="78" spans="1:2" x14ac:dyDescent="0.25">
      <c r="A78" s="4" t="s">
        <v>728</v>
      </c>
      <c r="B78" s="5">
        <v>53</v>
      </c>
    </row>
    <row r="79" spans="1:2" x14ac:dyDescent="0.25">
      <c r="A79" s="4" t="s">
        <v>728</v>
      </c>
      <c r="B79" s="5">
        <v>45</v>
      </c>
    </row>
    <row r="80" spans="1:2" x14ac:dyDescent="0.25">
      <c r="A80" s="4" t="s">
        <v>728</v>
      </c>
      <c r="B80" s="5">
        <v>69</v>
      </c>
    </row>
    <row r="81" spans="1:2" x14ac:dyDescent="0.25">
      <c r="A81" s="4" t="s">
        <v>728</v>
      </c>
      <c r="B81" s="5">
        <v>65</v>
      </c>
    </row>
    <row r="82" spans="1:2" x14ac:dyDescent="0.25">
      <c r="A82" s="4" t="s">
        <v>729</v>
      </c>
      <c r="B82" s="5">
        <v>46</v>
      </c>
    </row>
    <row r="83" spans="1:2" x14ac:dyDescent="0.25">
      <c r="A83" s="4" t="s">
        <v>729</v>
      </c>
      <c r="B83" s="5">
        <v>50</v>
      </c>
    </row>
    <row r="84" spans="1:2" x14ac:dyDescent="0.25">
      <c r="A84" s="4" t="s">
        <v>729</v>
      </c>
      <c r="B84" s="5">
        <v>34</v>
      </c>
    </row>
    <row r="85" spans="1:2" x14ac:dyDescent="0.25">
      <c r="A85" s="4" t="s">
        <v>729</v>
      </c>
      <c r="B85" s="5">
        <v>29</v>
      </c>
    </row>
    <row r="86" spans="1:2" x14ac:dyDescent="0.25">
      <c r="A86" s="4" t="s">
        <v>729</v>
      </c>
      <c r="B86" s="5">
        <v>28</v>
      </c>
    </row>
    <row r="87" spans="1:2" x14ac:dyDescent="0.25">
      <c r="A87" s="4" t="s">
        <v>729</v>
      </c>
      <c r="B87" s="5">
        <v>30</v>
      </c>
    </row>
    <row r="88" spans="1:2" x14ac:dyDescent="0.25">
      <c r="A88" s="4" t="s">
        <v>729</v>
      </c>
      <c r="B88" s="5">
        <v>53</v>
      </c>
    </row>
    <row r="89" spans="1:2" x14ac:dyDescent="0.25">
      <c r="A89" s="4" t="s">
        <v>729</v>
      </c>
      <c r="B89" s="5">
        <v>22</v>
      </c>
    </row>
    <row r="90" spans="1:2" x14ac:dyDescent="0.25">
      <c r="A90" s="4" t="s">
        <v>729</v>
      </c>
      <c r="B90" s="5">
        <v>29</v>
      </c>
    </row>
    <row r="91" spans="1:2" x14ac:dyDescent="0.25">
      <c r="A91" s="4" t="s">
        <v>729</v>
      </c>
      <c r="B91" s="5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M22"/>
  <sheetViews>
    <sheetView topLeftCell="A16" zoomScale="66" zoomScaleNormal="75" workbookViewId="0">
      <selection sqref="A1:CM17"/>
    </sheetView>
  </sheetViews>
  <sheetFormatPr defaultColWidth="11" defaultRowHeight="15.75" x14ac:dyDescent="0.25"/>
  <cols>
    <col min="1" max="1" width="37.625" customWidth="1"/>
    <col min="10" max="10" width="15.625" customWidth="1"/>
    <col min="11" max="11" width="7" customWidth="1"/>
    <col min="12" max="12" width="5.5" customWidth="1"/>
    <col min="13" max="13" width="6.375" customWidth="1"/>
    <col min="14" max="14" width="3.875" customWidth="1"/>
    <col min="15" max="15" width="5.125" customWidth="1"/>
    <col min="16" max="16" width="6.375" customWidth="1"/>
    <col min="17" max="17" width="6.125" customWidth="1"/>
    <col min="18" max="18" width="3.625" customWidth="1"/>
    <col min="19" max="19" width="4.375" customWidth="1"/>
    <col min="20" max="20" width="3.5" customWidth="1"/>
    <col min="21" max="21" width="3.625" customWidth="1"/>
    <col min="22" max="22" width="21.375" customWidth="1"/>
    <col min="23" max="23" width="12.125" customWidth="1"/>
    <col min="24" max="24" width="4.125" customWidth="1"/>
    <col min="25" max="25" width="9.375" customWidth="1"/>
    <col min="26" max="26" width="7.125" customWidth="1"/>
    <col min="27" max="27" width="12.5" customWidth="1"/>
    <col min="28" max="28" width="8.625" customWidth="1"/>
    <col min="29" max="29" width="5.625" customWidth="1"/>
    <col min="45" max="45" width="8.875" hidden="1" customWidth="1"/>
    <col min="46" max="51" width="0.125" customWidth="1"/>
    <col min="52" max="52" width="27" customWidth="1"/>
    <col min="53" max="59" width="0.125" customWidth="1"/>
    <col min="74" max="74" width="9.375" customWidth="1"/>
    <col min="75" max="75" width="10.875" customWidth="1"/>
    <col min="76" max="85" width="0.125" customWidth="1"/>
    <col min="86" max="86" width="2.5" customWidth="1"/>
    <col min="87" max="88" width="0.125" customWidth="1"/>
    <col min="89" max="89" width="9" customWidth="1"/>
    <col min="90" max="90" width="0.125" customWidth="1"/>
    <col min="91" max="91" width="6" customWidth="1"/>
  </cols>
  <sheetData>
    <row r="1" spans="1:91" x14ac:dyDescent="0.25">
      <c r="A1" s="1" t="s">
        <v>0</v>
      </c>
      <c r="B1" s="4">
        <v>30</v>
      </c>
      <c r="C1" s="4">
        <v>31</v>
      </c>
      <c r="D1" s="4">
        <v>32</v>
      </c>
      <c r="E1" s="4">
        <v>33</v>
      </c>
      <c r="F1" s="4">
        <v>34</v>
      </c>
      <c r="G1" s="4">
        <v>35</v>
      </c>
      <c r="H1" s="4">
        <v>36</v>
      </c>
      <c r="I1" s="4">
        <v>37</v>
      </c>
      <c r="J1" s="4">
        <v>38</v>
      </c>
      <c r="K1" s="4">
        <v>39</v>
      </c>
      <c r="L1" s="4">
        <v>40</v>
      </c>
      <c r="M1" s="4">
        <v>1</v>
      </c>
      <c r="N1" s="4">
        <v>2</v>
      </c>
      <c r="O1" s="4">
        <v>3</v>
      </c>
      <c r="P1" s="4">
        <v>4</v>
      </c>
      <c r="Q1" s="4">
        <v>5</v>
      </c>
      <c r="R1" s="4">
        <v>6</v>
      </c>
      <c r="S1" s="4">
        <v>7</v>
      </c>
      <c r="T1" s="4">
        <v>8</v>
      </c>
      <c r="U1" s="4">
        <v>9</v>
      </c>
      <c r="V1" s="4">
        <v>10</v>
      </c>
      <c r="W1" s="4">
        <v>11</v>
      </c>
      <c r="X1" s="4">
        <v>12</v>
      </c>
      <c r="Y1" s="4">
        <v>13</v>
      </c>
      <c r="Z1" s="4">
        <v>14</v>
      </c>
      <c r="AA1" s="4">
        <v>15</v>
      </c>
      <c r="AB1" s="4">
        <v>16</v>
      </c>
      <c r="AC1" s="4">
        <v>17</v>
      </c>
      <c r="AD1" s="4">
        <v>18</v>
      </c>
      <c r="AE1" s="4">
        <v>19</v>
      </c>
      <c r="AF1" s="4">
        <v>20</v>
      </c>
      <c r="AG1" s="4">
        <v>21</v>
      </c>
      <c r="AH1" s="4">
        <v>22</v>
      </c>
      <c r="AI1" s="4">
        <v>23</v>
      </c>
      <c r="AJ1" s="4">
        <v>24</v>
      </c>
      <c r="AK1" s="4">
        <v>25</v>
      </c>
      <c r="AL1" s="4">
        <v>26</v>
      </c>
      <c r="AM1" s="4">
        <v>27</v>
      </c>
      <c r="AN1" s="4">
        <v>28</v>
      </c>
      <c r="AO1" s="4">
        <v>29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  <c r="BB1" s="4">
        <v>89</v>
      </c>
      <c r="BC1" s="4">
        <v>90</v>
      </c>
      <c r="BD1" s="4">
        <v>91</v>
      </c>
      <c r="BE1" s="4">
        <v>92</v>
      </c>
      <c r="BF1" s="4">
        <v>93</v>
      </c>
      <c r="BG1" s="4">
        <v>94</v>
      </c>
      <c r="BH1" s="4">
        <v>95</v>
      </c>
      <c r="BI1" s="4">
        <v>96</v>
      </c>
      <c r="BJ1" s="4">
        <v>97</v>
      </c>
      <c r="BK1" s="4">
        <v>98</v>
      </c>
      <c r="BL1" s="4">
        <v>72</v>
      </c>
      <c r="BM1" s="4">
        <v>73</v>
      </c>
      <c r="BN1" s="4">
        <v>74</v>
      </c>
      <c r="BO1" s="4">
        <v>75</v>
      </c>
      <c r="BP1" s="4">
        <v>76</v>
      </c>
      <c r="BQ1" s="4">
        <v>77</v>
      </c>
      <c r="BR1" s="4">
        <v>78</v>
      </c>
      <c r="BS1" s="4">
        <v>79</v>
      </c>
      <c r="BT1" s="4">
        <v>80</v>
      </c>
      <c r="BU1" s="4">
        <v>53</v>
      </c>
      <c r="BV1" s="4">
        <v>54</v>
      </c>
      <c r="BW1" s="4">
        <v>55</v>
      </c>
      <c r="BX1" s="4">
        <v>56</v>
      </c>
      <c r="BY1" s="4">
        <v>57</v>
      </c>
      <c r="BZ1" s="4">
        <v>58</v>
      </c>
      <c r="CA1" s="4">
        <v>59</v>
      </c>
      <c r="CB1" s="4">
        <v>60</v>
      </c>
      <c r="CC1" s="4">
        <v>61</v>
      </c>
      <c r="CD1" s="4">
        <v>62</v>
      </c>
      <c r="CE1" s="4">
        <v>63</v>
      </c>
      <c r="CF1" s="4">
        <v>64</v>
      </c>
      <c r="CG1" s="4">
        <v>65</v>
      </c>
      <c r="CH1" s="4">
        <v>66</v>
      </c>
      <c r="CI1" s="4">
        <v>67</v>
      </c>
      <c r="CJ1" s="4">
        <v>68</v>
      </c>
      <c r="CK1" s="4">
        <v>69</v>
      </c>
      <c r="CL1" s="4">
        <v>70</v>
      </c>
      <c r="CM1" s="4">
        <v>71</v>
      </c>
    </row>
    <row r="2" spans="1:91" x14ac:dyDescent="0.25">
      <c r="A2" s="1" t="s">
        <v>1</v>
      </c>
      <c r="B2" s="4" t="s">
        <v>139</v>
      </c>
      <c r="C2" s="4" t="s">
        <v>139</v>
      </c>
      <c r="D2" s="4" t="s">
        <v>139</v>
      </c>
      <c r="E2" s="4" t="s">
        <v>139</v>
      </c>
      <c r="F2" s="4" t="s">
        <v>139</v>
      </c>
      <c r="G2" s="4" t="s">
        <v>139</v>
      </c>
      <c r="H2" s="4" t="s">
        <v>139</v>
      </c>
      <c r="I2" s="4" t="s">
        <v>139</v>
      </c>
      <c r="J2" s="4" t="s">
        <v>139</v>
      </c>
      <c r="K2" s="4" t="s">
        <v>139</v>
      </c>
      <c r="L2" s="4" t="s">
        <v>139</v>
      </c>
      <c r="M2" s="4" t="s">
        <v>77</v>
      </c>
      <c r="N2" s="4" t="s">
        <v>77</v>
      </c>
      <c r="O2" s="4" t="s">
        <v>77</v>
      </c>
      <c r="P2" s="4" t="s">
        <v>77</v>
      </c>
      <c r="Q2" s="4" t="s">
        <v>77</v>
      </c>
      <c r="R2" s="4" t="s">
        <v>77</v>
      </c>
      <c r="S2" s="4" t="s">
        <v>77</v>
      </c>
      <c r="T2" s="4" t="s">
        <v>77</v>
      </c>
      <c r="U2" s="4" t="s">
        <v>77</v>
      </c>
      <c r="V2" s="4" t="s">
        <v>98</v>
      </c>
      <c r="W2" s="4" t="s">
        <v>98</v>
      </c>
      <c r="X2" s="4" t="s">
        <v>98</v>
      </c>
      <c r="Y2" s="4" t="s">
        <v>98</v>
      </c>
      <c r="Z2" s="4" t="s">
        <v>98</v>
      </c>
      <c r="AA2" s="4" t="s">
        <v>98</v>
      </c>
      <c r="AB2" s="4" t="s">
        <v>98</v>
      </c>
      <c r="AC2" s="4" t="s">
        <v>98</v>
      </c>
      <c r="AD2" s="4" t="s">
        <v>98</v>
      </c>
      <c r="AE2" s="4" t="s">
        <v>118</v>
      </c>
      <c r="AF2" s="4" t="s">
        <v>118</v>
      </c>
      <c r="AG2" s="4" t="s">
        <v>118</v>
      </c>
      <c r="AH2" s="4" t="s">
        <v>118</v>
      </c>
      <c r="AI2" s="4" t="s">
        <v>118</v>
      </c>
      <c r="AJ2" s="4" t="s">
        <v>118</v>
      </c>
      <c r="AK2" s="4" t="s">
        <v>118</v>
      </c>
      <c r="AL2" s="4" t="s">
        <v>118</v>
      </c>
      <c r="AM2" s="4" t="s">
        <v>118</v>
      </c>
      <c r="AN2" s="4" t="s">
        <v>118</v>
      </c>
      <c r="AO2" s="4" t="s">
        <v>118</v>
      </c>
      <c r="AP2" s="4" t="s">
        <v>168</v>
      </c>
      <c r="AQ2" s="4" t="s">
        <v>168</v>
      </c>
      <c r="AR2" s="4" t="s">
        <v>168</v>
      </c>
      <c r="AS2" s="4" t="s">
        <v>168</v>
      </c>
      <c r="AT2" s="4" t="s">
        <v>168</v>
      </c>
      <c r="AU2" s="4" t="s">
        <v>168</v>
      </c>
      <c r="AV2" s="4" t="s">
        <v>168</v>
      </c>
      <c r="AW2" s="4" t="s">
        <v>168</v>
      </c>
      <c r="AX2" s="4" t="s">
        <v>168</v>
      </c>
      <c r="AY2" s="4" t="s">
        <v>168</v>
      </c>
      <c r="AZ2" s="4" t="s">
        <v>168</v>
      </c>
      <c r="BA2" s="4" t="s">
        <v>168</v>
      </c>
      <c r="BB2" s="4" t="s">
        <v>216</v>
      </c>
      <c r="BC2" s="4" t="s">
        <v>216</v>
      </c>
      <c r="BD2" s="4" t="s">
        <v>216</v>
      </c>
      <c r="BE2" s="4" t="s">
        <v>216</v>
      </c>
      <c r="BF2" s="4" t="s">
        <v>216</v>
      </c>
      <c r="BG2" s="4" t="s">
        <v>216</v>
      </c>
      <c r="BH2" s="4" t="s">
        <v>216</v>
      </c>
      <c r="BI2" s="4" t="s">
        <v>216</v>
      </c>
      <c r="BJ2" s="4" t="s">
        <v>216</v>
      </c>
      <c r="BK2" s="4" t="s">
        <v>216</v>
      </c>
      <c r="BL2" s="4" t="s">
        <v>205</v>
      </c>
      <c r="BM2" s="4" t="s">
        <v>205</v>
      </c>
      <c r="BN2" s="4" t="s">
        <v>205</v>
      </c>
      <c r="BO2" s="4" t="s">
        <v>205</v>
      </c>
      <c r="BP2" s="4" t="s">
        <v>205</v>
      </c>
      <c r="BQ2" s="4" t="s">
        <v>205</v>
      </c>
      <c r="BR2" s="4" t="s">
        <v>205</v>
      </c>
      <c r="BS2" s="4" t="s">
        <v>205</v>
      </c>
      <c r="BT2" s="4" t="s">
        <v>205</v>
      </c>
      <c r="BU2" s="4" t="s">
        <v>182</v>
      </c>
      <c r="BV2" s="4" t="s">
        <v>182</v>
      </c>
      <c r="BW2" s="4" t="s">
        <v>182</v>
      </c>
      <c r="BX2" s="4" t="s">
        <v>182</v>
      </c>
      <c r="BY2" s="4" t="s">
        <v>182</v>
      </c>
      <c r="BZ2" s="4" t="s">
        <v>182</v>
      </c>
      <c r="CA2" s="4" t="s">
        <v>182</v>
      </c>
      <c r="CB2" s="4" t="s">
        <v>182</v>
      </c>
      <c r="CC2" s="4" t="s">
        <v>182</v>
      </c>
      <c r="CD2" s="4" t="s">
        <v>182</v>
      </c>
      <c r="CE2" s="4" t="s">
        <v>194</v>
      </c>
      <c r="CF2" s="4" t="s">
        <v>194</v>
      </c>
      <c r="CG2" s="4" t="s">
        <v>194</v>
      </c>
      <c r="CH2" s="4" t="s">
        <v>194</v>
      </c>
      <c r="CI2" s="4" t="s">
        <v>194</v>
      </c>
      <c r="CJ2" s="4" t="s">
        <v>194</v>
      </c>
      <c r="CK2" s="4" t="s">
        <v>194</v>
      </c>
      <c r="CL2" s="4" t="s">
        <v>194</v>
      </c>
      <c r="CM2" s="4" t="s">
        <v>194</v>
      </c>
    </row>
    <row r="3" spans="1:91" x14ac:dyDescent="0.25">
      <c r="A3" s="1" t="s">
        <v>2</v>
      </c>
      <c r="B3" s="4" t="s">
        <v>140</v>
      </c>
      <c r="C3" s="4" t="s">
        <v>145</v>
      </c>
      <c r="D3" s="4" t="s">
        <v>148</v>
      </c>
      <c r="E3" s="4" t="s">
        <v>151</v>
      </c>
      <c r="F3" s="4" t="s">
        <v>154</v>
      </c>
      <c r="G3" s="4" t="s">
        <v>156</v>
      </c>
      <c r="H3" s="4" t="s">
        <v>159</v>
      </c>
      <c r="I3" s="4" t="s">
        <v>161</v>
      </c>
      <c r="J3" s="4" t="s">
        <v>163</v>
      </c>
      <c r="K3" s="4" t="s">
        <v>164</v>
      </c>
      <c r="L3" s="4" t="s">
        <v>167</v>
      </c>
      <c r="M3" s="4" t="s">
        <v>78</v>
      </c>
      <c r="N3" s="4" t="s">
        <v>84</v>
      </c>
      <c r="O3" s="4" t="s">
        <v>86</v>
      </c>
      <c r="P3" s="4" t="s">
        <v>87</v>
      </c>
      <c r="Q3" s="4" t="s">
        <v>89</v>
      </c>
      <c r="R3" s="4" t="s">
        <v>91</v>
      </c>
      <c r="S3" s="4" t="s">
        <v>93</v>
      </c>
      <c r="T3" s="4" t="s">
        <v>95</v>
      </c>
      <c r="U3" s="4" t="s">
        <v>97</v>
      </c>
      <c r="V3" s="4" t="s">
        <v>99</v>
      </c>
      <c r="W3" s="4" t="s">
        <v>102</v>
      </c>
      <c r="X3" s="4" t="s">
        <v>104</v>
      </c>
      <c r="Y3" s="4" t="s">
        <v>106</v>
      </c>
      <c r="Z3" s="4" t="s">
        <v>108</v>
      </c>
      <c r="AA3" s="4" t="s">
        <v>109</v>
      </c>
      <c r="AB3" s="4" t="s">
        <v>112</v>
      </c>
      <c r="AC3" s="4" t="s">
        <v>115</v>
      </c>
      <c r="AD3" s="4" t="s">
        <v>117</v>
      </c>
      <c r="AE3" s="4" t="s">
        <v>119</v>
      </c>
      <c r="AF3" s="4" t="s">
        <v>121</v>
      </c>
      <c r="AG3" s="4" t="s">
        <v>122</v>
      </c>
      <c r="AH3" s="4" t="s">
        <v>123</v>
      </c>
      <c r="AI3" s="4" t="s">
        <v>125</v>
      </c>
      <c r="AJ3" s="4" t="s">
        <v>127</v>
      </c>
      <c r="AK3" s="4" t="s">
        <v>129</v>
      </c>
      <c r="AL3" s="4" t="s">
        <v>131</v>
      </c>
      <c r="AM3" s="4" t="s">
        <v>133</v>
      </c>
      <c r="AN3" s="4" t="s">
        <v>135</v>
      </c>
      <c r="AO3" s="4" t="s">
        <v>137</v>
      </c>
      <c r="AP3" s="4" t="s">
        <v>169</v>
      </c>
      <c r="AQ3" s="4" t="s">
        <v>171</v>
      </c>
      <c r="AR3" s="4" t="s">
        <v>172</v>
      </c>
      <c r="AS3" s="4" t="s">
        <v>173</v>
      </c>
      <c r="AT3" s="4" t="s">
        <v>174</v>
      </c>
      <c r="AU3" s="4" t="s">
        <v>175</v>
      </c>
      <c r="AV3" s="4" t="s">
        <v>176</v>
      </c>
      <c r="AW3" s="4" t="s">
        <v>177</v>
      </c>
      <c r="AX3" s="4" t="s">
        <v>178</v>
      </c>
      <c r="AY3" s="4" t="s">
        <v>179</v>
      </c>
      <c r="AZ3" s="4" t="s">
        <v>180</v>
      </c>
      <c r="BA3" s="4" t="s">
        <v>181</v>
      </c>
      <c r="BB3" s="4" t="s">
        <v>217</v>
      </c>
      <c r="BC3" s="4" t="s">
        <v>220</v>
      </c>
      <c r="BD3" s="4" t="s">
        <v>221</v>
      </c>
      <c r="BE3" s="4" t="s">
        <v>223</v>
      </c>
      <c r="BF3" s="4" t="s">
        <v>224</v>
      </c>
      <c r="BG3" s="4" t="s">
        <v>226</v>
      </c>
      <c r="BH3" s="4" t="s">
        <v>228</v>
      </c>
      <c r="BI3" s="4" t="s">
        <v>230</v>
      </c>
      <c r="BJ3" s="4" t="s">
        <v>232</v>
      </c>
      <c r="BK3" s="4" t="s">
        <v>234</v>
      </c>
      <c r="BL3" s="4" t="s">
        <v>206</v>
      </c>
      <c r="BM3" s="4" t="s">
        <v>208</v>
      </c>
      <c r="BN3" s="4" t="s">
        <v>209</v>
      </c>
      <c r="BO3" s="4" t="s">
        <v>210</v>
      </c>
      <c r="BP3" s="4" t="s">
        <v>211</v>
      </c>
      <c r="BQ3" s="4" t="s">
        <v>212</v>
      </c>
      <c r="BR3" s="4" t="s">
        <v>213</v>
      </c>
      <c r="BS3" s="4" t="s">
        <v>214</v>
      </c>
      <c r="BT3" s="4" t="s">
        <v>215</v>
      </c>
      <c r="BU3" s="4" t="s">
        <v>183</v>
      </c>
      <c r="BV3" s="4" t="s">
        <v>185</v>
      </c>
      <c r="BW3" s="4" t="s">
        <v>186</v>
      </c>
      <c r="BX3" s="4" t="s">
        <v>187</v>
      </c>
      <c r="BY3" s="4" t="s">
        <v>188</v>
      </c>
      <c r="BZ3" s="4" t="s">
        <v>189</v>
      </c>
      <c r="CA3" s="4" t="s">
        <v>190</v>
      </c>
      <c r="CB3" s="4" t="s">
        <v>191</v>
      </c>
      <c r="CC3" s="4" t="s">
        <v>192</v>
      </c>
      <c r="CD3" s="4" t="s">
        <v>193</v>
      </c>
      <c r="CE3" s="4" t="s">
        <v>195</v>
      </c>
      <c r="CF3" s="4" t="s">
        <v>197</v>
      </c>
      <c r="CG3" s="4" t="s">
        <v>198</v>
      </c>
      <c r="CH3" s="4" t="s">
        <v>199</v>
      </c>
      <c r="CI3" s="4" t="s">
        <v>200</v>
      </c>
      <c r="CJ3" s="4" t="s">
        <v>201</v>
      </c>
      <c r="CK3" s="4" t="s">
        <v>202</v>
      </c>
      <c r="CL3" s="4" t="s">
        <v>203</v>
      </c>
      <c r="CM3" s="4" t="s">
        <v>204</v>
      </c>
    </row>
    <row r="4" spans="1:91" x14ac:dyDescent="0.25">
      <c r="A4" s="1" t="s">
        <v>736</v>
      </c>
      <c r="B4" s="4" t="s">
        <v>726</v>
      </c>
      <c r="C4" s="4" t="s">
        <v>726</v>
      </c>
      <c r="D4" s="4" t="s">
        <v>726</v>
      </c>
      <c r="E4" s="4" t="s">
        <v>726</v>
      </c>
      <c r="F4" s="4" t="s">
        <v>726</v>
      </c>
      <c r="G4" s="4" t="s">
        <v>726</v>
      </c>
      <c r="H4" s="4" t="s">
        <v>726</v>
      </c>
      <c r="I4" s="4" t="s">
        <v>726</v>
      </c>
      <c r="J4" s="4" t="s">
        <v>726</v>
      </c>
      <c r="K4" s="4" t="s">
        <v>726</v>
      </c>
      <c r="L4" s="4" t="s">
        <v>726</v>
      </c>
      <c r="M4" s="4" t="s">
        <v>737</v>
      </c>
      <c r="N4" s="4" t="s">
        <v>737</v>
      </c>
      <c r="O4" s="4" t="s">
        <v>737</v>
      </c>
      <c r="P4" s="4" t="s">
        <v>737</v>
      </c>
      <c r="Q4" s="4" t="s">
        <v>737</v>
      </c>
      <c r="R4" s="4" t="s">
        <v>737</v>
      </c>
      <c r="S4" s="4" t="s">
        <v>737</v>
      </c>
      <c r="T4" s="4" t="s">
        <v>737</v>
      </c>
      <c r="U4" s="4" t="s">
        <v>737</v>
      </c>
      <c r="V4" s="4" t="s">
        <v>737</v>
      </c>
      <c r="W4" s="4" t="s">
        <v>737</v>
      </c>
      <c r="X4" s="4" t="s">
        <v>737</v>
      </c>
      <c r="Y4" s="4" t="s">
        <v>737</v>
      </c>
      <c r="Z4" s="4" t="s">
        <v>737</v>
      </c>
      <c r="AA4" s="4" t="s">
        <v>737</v>
      </c>
      <c r="AB4" s="4" t="s">
        <v>737</v>
      </c>
      <c r="AC4" s="4" t="s">
        <v>737</v>
      </c>
      <c r="AD4" s="4" t="s">
        <v>737</v>
      </c>
      <c r="AE4" s="4" t="s">
        <v>738</v>
      </c>
      <c r="AF4" s="4" t="s">
        <v>738</v>
      </c>
      <c r="AG4" s="4" t="s">
        <v>738</v>
      </c>
      <c r="AH4" s="4" t="s">
        <v>738</v>
      </c>
      <c r="AI4" s="4" t="s">
        <v>738</v>
      </c>
      <c r="AJ4" s="4" t="s">
        <v>738</v>
      </c>
      <c r="AK4" s="4" t="s">
        <v>738</v>
      </c>
      <c r="AL4" s="4" t="s">
        <v>738</v>
      </c>
      <c r="AM4" s="4" t="s">
        <v>738</v>
      </c>
      <c r="AN4" s="4" t="s">
        <v>738</v>
      </c>
      <c r="AO4" s="4" t="s">
        <v>738</v>
      </c>
      <c r="AP4" s="4" t="s">
        <v>727</v>
      </c>
      <c r="AQ4" s="4" t="s">
        <v>727</v>
      </c>
      <c r="AR4" s="4" t="s">
        <v>727</v>
      </c>
      <c r="AS4" s="4" t="s">
        <v>727</v>
      </c>
      <c r="AT4" s="4" t="s">
        <v>727</v>
      </c>
      <c r="AU4" s="4" t="s">
        <v>727</v>
      </c>
      <c r="AV4" s="4" t="s">
        <v>727</v>
      </c>
      <c r="AW4" s="4" t="s">
        <v>727</v>
      </c>
      <c r="AX4" s="4" t="s">
        <v>727</v>
      </c>
      <c r="AY4" s="4" t="s">
        <v>727</v>
      </c>
      <c r="AZ4" s="4" t="s">
        <v>727</v>
      </c>
      <c r="BA4" s="4" t="s">
        <v>727</v>
      </c>
      <c r="BB4" s="4" t="s">
        <v>729</v>
      </c>
      <c r="BC4" s="4" t="s">
        <v>729</v>
      </c>
      <c r="BD4" s="4" t="s">
        <v>729</v>
      </c>
      <c r="BE4" s="4" t="s">
        <v>729</v>
      </c>
      <c r="BF4" s="4" t="s">
        <v>729</v>
      </c>
      <c r="BG4" s="4" t="s">
        <v>729</v>
      </c>
      <c r="BH4" s="4" t="s">
        <v>729</v>
      </c>
      <c r="BI4" s="4" t="s">
        <v>729</v>
      </c>
      <c r="BJ4" s="4" t="s">
        <v>729</v>
      </c>
      <c r="BK4" s="4" t="s">
        <v>729</v>
      </c>
      <c r="BL4" s="4" t="s">
        <v>728</v>
      </c>
      <c r="BM4" s="4" t="s">
        <v>728</v>
      </c>
      <c r="BN4" s="4" t="s">
        <v>728</v>
      </c>
      <c r="BO4" s="4" t="s">
        <v>728</v>
      </c>
      <c r="BP4" s="4" t="s">
        <v>728</v>
      </c>
      <c r="BQ4" s="4" t="s">
        <v>728</v>
      </c>
      <c r="BR4" s="4" t="s">
        <v>728</v>
      </c>
      <c r="BS4" s="4" t="s">
        <v>728</v>
      </c>
      <c r="BT4" s="4" t="s">
        <v>728</v>
      </c>
      <c r="BU4" s="4" t="s">
        <v>184</v>
      </c>
      <c r="BV4" s="4" t="s">
        <v>184</v>
      </c>
      <c r="BW4" s="4" t="s">
        <v>184</v>
      </c>
      <c r="BX4" s="4" t="s">
        <v>184</v>
      </c>
      <c r="BY4" s="4" t="s">
        <v>184</v>
      </c>
      <c r="BZ4" s="4" t="s">
        <v>184</v>
      </c>
      <c r="CA4" s="4" t="s">
        <v>184</v>
      </c>
      <c r="CB4" s="4" t="s">
        <v>184</v>
      </c>
      <c r="CC4" s="4" t="s">
        <v>184</v>
      </c>
      <c r="CD4" s="4" t="s">
        <v>184</v>
      </c>
      <c r="CE4" s="4" t="s">
        <v>196</v>
      </c>
      <c r="CF4" s="4" t="s">
        <v>196</v>
      </c>
      <c r="CG4" s="4" t="s">
        <v>196</v>
      </c>
      <c r="CH4" s="4" t="s">
        <v>196</v>
      </c>
      <c r="CI4" s="4" t="s">
        <v>196</v>
      </c>
      <c r="CJ4" s="4" t="s">
        <v>196</v>
      </c>
      <c r="CK4" s="4" t="s">
        <v>196</v>
      </c>
      <c r="CL4" s="4" t="s">
        <v>196</v>
      </c>
      <c r="CM4" s="4" t="s">
        <v>196</v>
      </c>
    </row>
    <row r="5" spans="1:91" x14ac:dyDescent="0.25">
      <c r="A5" s="2" t="s">
        <v>733</v>
      </c>
      <c r="B5" s="5" t="s">
        <v>726</v>
      </c>
      <c r="C5" s="5" t="s">
        <v>726</v>
      </c>
      <c r="D5" s="5" t="s">
        <v>726</v>
      </c>
      <c r="E5" s="5" t="s">
        <v>726</v>
      </c>
      <c r="F5" s="5" t="s">
        <v>726</v>
      </c>
      <c r="G5" s="5" t="s">
        <v>726</v>
      </c>
      <c r="H5" s="5" t="s">
        <v>726</v>
      </c>
      <c r="I5" s="5" t="s">
        <v>726</v>
      </c>
      <c r="J5" s="5" t="s">
        <v>726</v>
      </c>
      <c r="K5" s="5" t="s">
        <v>726</v>
      </c>
      <c r="L5" s="5" t="s">
        <v>726</v>
      </c>
      <c r="M5" s="5" t="s">
        <v>724</v>
      </c>
      <c r="N5" s="5" t="s">
        <v>724</v>
      </c>
      <c r="O5" s="5" t="s">
        <v>724</v>
      </c>
      <c r="P5" s="5" t="s">
        <v>725</v>
      </c>
      <c r="Q5" s="5" t="s">
        <v>724</v>
      </c>
      <c r="R5" s="5" t="s">
        <v>724</v>
      </c>
      <c r="S5" s="5" t="s">
        <v>724</v>
      </c>
      <c r="T5" s="5" t="s">
        <v>724</v>
      </c>
      <c r="U5" s="5" t="s">
        <v>724</v>
      </c>
      <c r="V5" s="5" t="s">
        <v>725</v>
      </c>
      <c r="W5" s="5" t="s">
        <v>725</v>
      </c>
      <c r="X5" s="5" t="s">
        <v>725</v>
      </c>
      <c r="Y5" s="5" t="s">
        <v>725</v>
      </c>
      <c r="Z5" s="5" t="s">
        <v>725</v>
      </c>
      <c r="AA5" s="5" t="s">
        <v>725</v>
      </c>
      <c r="AB5" s="5" t="s">
        <v>725</v>
      </c>
      <c r="AC5" s="5" t="s">
        <v>725</v>
      </c>
      <c r="AD5" s="5" t="s">
        <v>725</v>
      </c>
      <c r="AE5" s="5" t="s">
        <v>732</v>
      </c>
      <c r="AF5" s="5" t="s">
        <v>732</v>
      </c>
      <c r="AG5" s="5" t="s">
        <v>732</v>
      </c>
      <c r="AH5" s="5" t="s">
        <v>732</v>
      </c>
      <c r="AI5" s="5" t="s">
        <v>732</v>
      </c>
      <c r="AJ5" s="5" t="s">
        <v>732</v>
      </c>
      <c r="AK5" s="5" t="s">
        <v>732</v>
      </c>
      <c r="AL5" s="5" t="s">
        <v>732</v>
      </c>
      <c r="AM5" s="5" t="s">
        <v>732</v>
      </c>
      <c r="AN5" s="5" t="s">
        <v>732</v>
      </c>
      <c r="AO5" s="5" t="s">
        <v>732</v>
      </c>
      <c r="AP5" s="5" t="s">
        <v>727</v>
      </c>
      <c r="AQ5" s="5" t="s">
        <v>727</v>
      </c>
      <c r="AR5" s="5" t="s">
        <v>727</v>
      </c>
      <c r="AS5" s="5" t="s">
        <v>727</v>
      </c>
      <c r="AT5" s="5" t="s">
        <v>727</v>
      </c>
      <c r="AU5" s="5" t="s">
        <v>727</v>
      </c>
      <c r="AV5" s="5" t="s">
        <v>727</v>
      </c>
      <c r="AW5" s="5" t="s">
        <v>727</v>
      </c>
      <c r="AX5" s="5" t="s">
        <v>727</v>
      </c>
      <c r="AY5" s="5" t="s">
        <v>727</v>
      </c>
      <c r="AZ5" s="5" t="s">
        <v>727</v>
      </c>
      <c r="BA5" s="5" t="s">
        <v>727</v>
      </c>
      <c r="BB5" s="5" t="s">
        <v>729</v>
      </c>
      <c r="BC5" s="5" t="s">
        <v>729</v>
      </c>
      <c r="BD5" s="5" t="s">
        <v>729</v>
      </c>
      <c r="BE5" s="5" t="s">
        <v>729</v>
      </c>
      <c r="BF5" s="5" t="s">
        <v>729</v>
      </c>
      <c r="BG5" s="5" t="s">
        <v>729</v>
      </c>
      <c r="BH5" s="5" t="s">
        <v>729</v>
      </c>
      <c r="BI5" s="5" t="s">
        <v>729</v>
      </c>
      <c r="BJ5" s="5" t="s">
        <v>729</v>
      </c>
      <c r="BK5" s="5" t="s">
        <v>729</v>
      </c>
      <c r="BL5" s="5" t="s">
        <v>728</v>
      </c>
      <c r="BM5" s="5" t="s">
        <v>728</v>
      </c>
      <c r="BN5" s="5" t="s">
        <v>728</v>
      </c>
      <c r="BO5" s="5" t="s">
        <v>728</v>
      </c>
      <c r="BP5" s="5" t="s">
        <v>728</v>
      </c>
      <c r="BQ5" s="5" t="s">
        <v>728</v>
      </c>
      <c r="BR5" s="5" t="s">
        <v>728</v>
      </c>
      <c r="BS5" s="5" t="s">
        <v>728</v>
      </c>
      <c r="BT5" s="5" t="s">
        <v>728</v>
      </c>
      <c r="BU5" s="5" t="s">
        <v>184</v>
      </c>
      <c r="BV5" s="5" t="s">
        <v>184</v>
      </c>
      <c r="BW5" s="5" t="s">
        <v>184</v>
      </c>
      <c r="BX5" s="5" t="s">
        <v>184</v>
      </c>
      <c r="BY5" s="5" t="s">
        <v>184</v>
      </c>
      <c r="BZ5" s="5" t="s">
        <v>184</v>
      </c>
      <c r="CA5" s="5" t="s">
        <v>184</v>
      </c>
      <c r="CB5" s="5" t="s">
        <v>184</v>
      </c>
      <c r="CC5" s="5" t="s">
        <v>184</v>
      </c>
      <c r="CD5" s="5" t="s">
        <v>184</v>
      </c>
      <c r="CE5" s="5" t="s">
        <v>196</v>
      </c>
      <c r="CF5" s="5" t="s">
        <v>196</v>
      </c>
      <c r="CG5" s="5" t="s">
        <v>196</v>
      </c>
      <c r="CH5" s="5" t="s">
        <v>196</v>
      </c>
      <c r="CI5" s="5" t="s">
        <v>196</v>
      </c>
      <c r="CJ5" s="5" t="s">
        <v>196</v>
      </c>
      <c r="CK5" s="5" t="s">
        <v>196</v>
      </c>
      <c r="CL5" s="5" t="s">
        <v>196</v>
      </c>
      <c r="CM5" s="6" t="s">
        <v>196</v>
      </c>
    </row>
    <row r="6" spans="1:91" x14ac:dyDescent="0.25">
      <c r="A6" s="2" t="s">
        <v>734</v>
      </c>
      <c r="B6" s="5" t="s">
        <v>726</v>
      </c>
      <c r="C6" s="5" t="s">
        <v>726</v>
      </c>
      <c r="D6" s="5" t="s">
        <v>726</v>
      </c>
      <c r="E6" s="5" t="s">
        <v>726</v>
      </c>
      <c r="F6" s="5" t="s">
        <v>726</v>
      </c>
      <c r="G6" s="5" t="s">
        <v>726</v>
      </c>
      <c r="H6" s="5" t="s">
        <v>726</v>
      </c>
      <c r="I6" s="5" t="s">
        <v>726</v>
      </c>
      <c r="J6" s="5" t="s">
        <v>726</v>
      </c>
      <c r="K6" s="5" t="s">
        <v>726</v>
      </c>
      <c r="L6" s="5" t="s">
        <v>726</v>
      </c>
      <c r="M6" s="5" t="s">
        <v>730</v>
      </c>
      <c r="N6" s="5" t="s">
        <v>730</v>
      </c>
      <c r="O6" s="5" t="s">
        <v>730</v>
      </c>
      <c r="P6" s="5" t="s">
        <v>730</v>
      </c>
      <c r="Q6" s="5" t="s">
        <v>730</v>
      </c>
      <c r="R6" s="5" t="s">
        <v>730</v>
      </c>
      <c r="S6" s="5" t="s">
        <v>730</v>
      </c>
      <c r="T6" s="5" t="s">
        <v>731</v>
      </c>
      <c r="U6" s="5" t="s">
        <v>730</v>
      </c>
      <c r="V6" s="5" t="s">
        <v>731</v>
      </c>
      <c r="W6" s="5" t="s">
        <v>731</v>
      </c>
      <c r="X6" s="5" t="s">
        <v>731</v>
      </c>
      <c r="Y6" s="5" t="s">
        <v>731</v>
      </c>
      <c r="Z6" s="5" t="s">
        <v>730</v>
      </c>
      <c r="AA6" s="5" t="s">
        <v>731</v>
      </c>
      <c r="AB6" s="5" t="s">
        <v>731</v>
      </c>
      <c r="AC6" s="5" t="s">
        <v>730</v>
      </c>
      <c r="AD6" s="5" t="s">
        <v>730</v>
      </c>
      <c r="AE6" s="5" t="s">
        <v>732</v>
      </c>
      <c r="AF6" s="5" t="s">
        <v>732</v>
      </c>
      <c r="AG6" s="5" t="s">
        <v>732</v>
      </c>
      <c r="AH6" s="5" t="s">
        <v>732</v>
      </c>
      <c r="AI6" s="5" t="s">
        <v>732</v>
      </c>
      <c r="AJ6" s="5" t="s">
        <v>732</v>
      </c>
      <c r="AK6" s="5" t="s">
        <v>732</v>
      </c>
      <c r="AL6" s="5" t="s">
        <v>732</v>
      </c>
      <c r="AM6" s="5" t="s">
        <v>732</v>
      </c>
      <c r="AN6" s="5" t="s">
        <v>732</v>
      </c>
      <c r="AO6" s="5" t="s">
        <v>732</v>
      </c>
      <c r="AP6" s="5" t="s">
        <v>727</v>
      </c>
      <c r="AQ6" s="5" t="s">
        <v>727</v>
      </c>
      <c r="AR6" s="5" t="s">
        <v>727</v>
      </c>
      <c r="AS6" s="5" t="s">
        <v>727</v>
      </c>
      <c r="AT6" s="5" t="s">
        <v>727</v>
      </c>
      <c r="AU6" s="5" t="s">
        <v>727</v>
      </c>
      <c r="AV6" s="5" t="s">
        <v>727</v>
      </c>
      <c r="AW6" s="5" t="s">
        <v>727</v>
      </c>
      <c r="AX6" s="5" t="s">
        <v>727</v>
      </c>
      <c r="AY6" s="5" t="s">
        <v>727</v>
      </c>
      <c r="AZ6" s="5" t="s">
        <v>727</v>
      </c>
      <c r="BA6" s="5" t="s">
        <v>727</v>
      </c>
      <c r="BB6" s="5" t="s">
        <v>729</v>
      </c>
      <c r="BC6" s="5" t="s">
        <v>729</v>
      </c>
      <c r="BD6" s="5" t="s">
        <v>729</v>
      </c>
      <c r="BE6" s="5" t="s">
        <v>729</v>
      </c>
      <c r="BF6" s="5" t="s">
        <v>729</v>
      </c>
      <c r="BG6" s="5" t="s">
        <v>729</v>
      </c>
      <c r="BH6" s="5" t="s">
        <v>729</v>
      </c>
      <c r="BI6" s="5" t="s">
        <v>729</v>
      </c>
      <c r="BJ6" s="5" t="s">
        <v>729</v>
      </c>
      <c r="BK6" s="5" t="s">
        <v>729</v>
      </c>
      <c r="BL6" s="5" t="s">
        <v>728</v>
      </c>
      <c r="BM6" s="5" t="s">
        <v>728</v>
      </c>
      <c r="BN6" s="5" t="s">
        <v>728</v>
      </c>
      <c r="BO6" s="5" t="s">
        <v>728</v>
      </c>
      <c r="BP6" s="5" t="s">
        <v>728</v>
      </c>
      <c r="BQ6" s="5" t="s">
        <v>728</v>
      </c>
      <c r="BR6" s="5" t="s">
        <v>728</v>
      </c>
      <c r="BS6" s="5" t="s">
        <v>728</v>
      </c>
      <c r="BT6" s="5" t="s">
        <v>728</v>
      </c>
      <c r="BU6" s="5" t="s">
        <v>184</v>
      </c>
      <c r="BV6" s="5" t="s">
        <v>184</v>
      </c>
      <c r="BW6" s="5" t="s">
        <v>184</v>
      </c>
      <c r="BX6" s="5" t="s">
        <v>184</v>
      </c>
      <c r="BY6" s="5" t="s">
        <v>184</v>
      </c>
      <c r="BZ6" s="5" t="s">
        <v>184</v>
      </c>
      <c r="CA6" s="5" t="s">
        <v>184</v>
      </c>
      <c r="CB6" s="5" t="s">
        <v>184</v>
      </c>
      <c r="CC6" s="5" t="s">
        <v>184</v>
      </c>
      <c r="CD6" s="5" t="s">
        <v>184</v>
      </c>
      <c r="CE6" s="5" t="s">
        <v>196</v>
      </c>
      <c r="CF6" s="5" t="s">
        <v>196</v>
      </c>
      <c r="CG6" s="5" t="s">
        <v>196</v>
      </c>
      <c r="CH6" s="5" t="s">
        <v>196</v>
      </c>
      <c r="CI6" s="5" t="s">
        <v>196</v>
      </c>
      <c r="CJ6" s="5" t="s">
        <v>196</v>
      </c>
      <c r="CK6" s="5" t="s">
        <v>196</v>
      </c>
      <c r="CL6" s="5" t="s">
        <v>196</v>
      </c>
      <c r="CM6" s="6" t="s">
        <v>196</v>
      </c>
    </row>
    <row r="7" spans="1:91" x14ac:dyDescent="0.25">
      <c r="A7" s="1" t="s">
        <v>735</v>
      </c>
      <c r="B7" s="4" t="s">
        <v>141</v>
      </c>
      <c r="C7" s="4" t="s">
        <v>141</v>
      </c>
      <c r="D7" s="4" t="s">
        <v>141</v>
      </c>
      <c r="E7" s="4" t="s">
        <v>141</v>
      </c>
      <c r="F7" s="4" t="s">
        <v>141</v>
      </c>
      <c r="G7" s="4" t="s">
        <v>141</v>
      </c>
      <c r="H7" s="4" t="s">
        <v>141</v>
      </c>
      <c r="I7" s="4" t="s">
        <v>141</v>
      </c>
      <c r="J7" s="4" t="s">
        <v>141</v>
      </c>
      <c r="K7" s="4" t="s">
        <v>141</v>
      </c>
      <c r="L7" s="4" t="s">
        <v>141</v>
      </c>
      <c r="M7" s="4" t="s">
        <v>79</v>
      </c>
      <c r="N7" s="4" t="s">
        <v>79</v>
      </c>
      <c r="O7" s="4" t="s">
        <v>79</v>
      </c>
      <c r="P7" s="4" t="s">
        <v>79</v>
      </c>
      <c r="Q7" s="4" t="s">
        <v>79</v>
      </c>
      <c r="R7" s="4" t="s">
        <v>79</v>
      </c>
      <c r="S7" s="4" t="s">
        <v>79</v>
      </c>
      <c r="T7" s="4" t="s">
        <v>79</v>
      </c>
      <c r="U7" s="4" t="s">
        <v>79</v>
      </c>
      <c r="V7" s="4" t="s">
        <v>100</v>
      </c>
      <c r="W7" s="4" t="s">
        <v>100</v>
      </c>
      <c r="X7" s="4" t="s">
        <v>100</v>
      </c>
      <c r="Y7" s="4" t="s">
        <v>100</v>
      </c>
      <c r="Z7" s="4" t="s">
        <v>100</v>
      </c>
      <c r="AA7" s="4" t="s">
        <v>100</v>
      </c>
      <c r="AB7" s="4" t="s">
        <v>100</v>
      </c>
      <c r="AC7" s="4" t="s">
        <v>100</v>
      </c>
      <c r="AD7" s="4" t="s">
        <v>100</v>
      </c>
      <c r="AE7" s="4" t="s">
        <v>120</v>
      </c>
      <c r="AF7" s="4" t="s">
        <v>120</v>
      </c>
      <c r="AG7" s="4" t="s">
        <v>120</v>
      </c>
      <c r="AH7" s="4" t="s">
        <v>120</v>
      </c>
      <c r="AI7" s="4" t="s">
        <v>120</v>
      </c>
      <c r="AJ7" s="4"/>
      <c r="AK7" s="4" t="s">
        <v>120</v>
      </c>
      <c r="AL7" s="4" t="s">
        <v>120</v>
      </c>
      <c r="AM7" s="4" t="s">
        <v>120</v>
      </c>
      <c r="AN7" s="4" t="s">
        <v>120</v>
      </c>
      <c r="AO7" s="4" t="s">
        <v>120</v>
      </c>
      <c r="AP7" s="4" t="s">
        <v>170</v>
      </c>
      <c r="AQ7" s="4" t="s">
        <v>170</v>
      </c>
      <c r="AR7" s="4" t="s">
        <v>170</v>
      </c>
      <c r="AS7" s="4" t="s">
        <v>170</v>
      </c>
      <c r="AT7" s="4" t="s">
        <v>170</v>
      </c>
      <c r="AU7" s="4" t="s">
        <v>170</v>
      </c>
      <c r="AV7" s="4" t="s">
        <v>170</v>
      </c>
      <c r="AW7" s="4" t="s">
        <v>170</v>
      </c>
      <c r="AX7" s="4" t="s">
        <v>170</v>
      </c>
      <c r="AY7" s="4" t="s">
        <v>170</v>
      </c>
      <c r="AZ7" s="4" t="s">
        <v>170</v>
      </c>
      <c r="BA7" s="4" t="s">
        <v>170</v>
      </c>
      <c r="BB7" s="4" t="s">
        <v>218</v>
      </c>
      <c r="BC7" s="4" t="s">
        <v>218</v>
      </c>
      <c r="BD7" s="4" t="s">
        <v>218</v>
      </c>
      <c r="BE7" s="4" t="s">
        <v>218</v>
      </c>
      <c r="BF7" s="4" t="s">
        <v>218</v>
      </c>
      <c r="BG7" s="4" t="s">
        <v>218</v>
      </c>
      <c r="BH7" s="4" t="s">
        <v>218</v>
      </c>
      <c r="BI7" s="4" t="s">
        <v>218</v>
      </c>
      <c r="BJ7" s="4" t="s">
        <v>218</v>
      </c>
      <c r="BK7" s="4" t="s">
        <v>218</v>
      </c>
      <c r="BL7" s="4" t="s">
        <v>207</v>
      </c>
      <c r="BM7" s="4" t="s">
        <v>207</v>
      </c>
      <c r="BN7" s="4" t="s">
        <v>207</v>
      </c>
      <c r="BO7" s="4" t="s">
        <v>207</v>
      </c>
      <c r="BP7" s="4" t="s">
        <v>207</v>
      </c>
      <c r="BQ7" s="4" t="s">
        <v>207</v>
      </c>
      <c r="BR7" s="4" t="s">
        <v>207</v>
      </c>
      <c r="BS7" s="4" t="s">
        <v>207</v>
      </c>
      <c r="BT7" s="4" t="s">
        <v>207</v>
      </c>
      <c r="BU7" s="4" t="s">
        <v>184</v>
      </c>
      <c r="BV7" s="4" t="s">
        <v>184</v>
      </c>
      <c r="BW7" s="4" t="s">
        <v>184</v>
      </c>
      <c r="BX7" s="4" t="s">
        <v>184</v>
      </c>
      <c r="BY7" s="4" t="s">
        <v>184</v>
      </c>
      <c r="BZ7" s="4" t="s">
        <v>184</v>
      </c>
      <c r="CA7" s="4" t="s">
        <v>184</v>
      </c>
      <c r="CB7" s="4" t="s">
        <v>184</v>
      </c>
      <c r="CC7" s="4" t="s">
        <v>184</v>
      </c>
      <c r="CD7" s="4" t="s">
        <v>184</v>
      </c>
      <c r="CE7" s="4" t="s">
        <v>196</v>
      </c>
      <c r="CF7" s="4" t="s">
        <v>196</v>
      </c>
      <c r="CG7" s="4" t="s">
        <v>196</v>
      </c>
      <c r="CH7" s="4" t="s">
        <v>196</v>
      </c>
      <c r="CI7" s="4" t="s">
        <v>196</v>
      </c>
      <c r="CJ7" s="4" t="s">
        <v>196</v>
      </c>
      <c r="CK7" s="4" t="s">
        <v>196</v>
      </c>
      <c r="CL7" s="4" t="s">
        <v>196</v>
      </c>
      <c r="CM7" s="4" t="s">
        <v>196</v>
      </c>
    </row>
    <row r="8" spans="1:91" x14ac:dyDescent="0.25">
      <c r="A8" s="1" t="s">
        <v>13</v>
      </c>
      <c r="B8" s="4">
        <v>132</v>
      </c>
      <c r="C8" s="4">
        <v>135</v>
      </c>
      <c r="D8" s="4">
        <v>76</v>
      </c>
      <c r="E8" s="4">
        <v>127</v>
      </c>
      <c r="F8" s="4">
        <v>104</v>
      </c>
      <c r="G8" s="4"/>
      <c r="H8" s="4">
        <v>125</v>
      </c>
      <c r="I8" s="4">
        <v>128</v>
      </c>
      <c r="J8" s="4">
        <v>104</v>
      </c>
      <c r="K8" s="4">
        <v>97</v>
      </c>
      <c r="L8" s="4">
        <v>111</v>
      </c>
      <c r="M8" s="4">
        <v>119</v>
      </c>
      <c r="N8" s="4">
        <v>128</v>
      </c>
      <c r="O8" s="4">
        <v>195</v>
      </c>
      <c r="P8" s="4">
        <v>136</v>
      </c>
      <c r="Q8" s="4">
        <v>226</v>
      </c>
      <c r="R8" s="4">
        <v>130</v>
      </c>
      <c r="S8" s="4">
        <v>175</v>
      </c>
      <c r="T8" s="4">
        <v>146</v>
      </c>
      <c r="U8" s="4">
        <v>66</v>
      </c>
      <c r="V8" s="4">
        <v>117</v>
      </c>
      <c r="W8" s="4">
        <v>100</v>
      </c>
      <c r="X8" s="4">
        <v>92</v>
      </c>
      <c r="Y8" s="4">
        <v>255</v>
      </c>
      <c r="Z8" s="4">
        <v>249</v>
      </c>
      <c r="AA8" s="4">
        <v>125</v>
      </c>
      <c r="AB8" s="4">
        <v>240</v>
      </c>
      <c r="AC8" s="4">
        <v>117</v>
      </c>
      <c r="AD8" s="4">
        <v>230</v>
      </c>
      <c r="AE8" s="4">
        <v>276</v>
      </c>
      <c r="AF8" s="4">
        <v>26</v>
      </c>
      <c r="AG8" s="4">
        <v>104</v>
      </c>
      <c r="AH8" s="4">
        <v>65</v>
      </c>
      <c r="AI8" s="4">
        <v>117</v>
      </c>
      <c r="AJ8" s="4">
        <v>48</v>
      </c>
      <c r="AK8" s="4">
        <v>35</v>
      </c>
      <c r="AL8" s="4">
        <v>112</v>
      </c>
      <c r="AM8" s="4">
        <v>54</v>
      </c>
      <c r="AN8" s="4">
        <v>373</v>
      </c>
      <c r="AO8" s="4">
        <v>325</v>
      </c>
      <c r="AP8" s="4">
        <v>102</v>
      </c>
      <c r="AQ8" s="4">
        <v>54</v>
      </c>
      <c r="AR8" s="4">
        <v>136</v>
      </c>
      <c r="AS8" s="4">
        <v>72</v>
      </c>
      <c r="AT8" s="4">
        <v>67</v>
      </c>
      <c r="AU8" s="4">
        <v>161</v>
      </c>
      <c r="AV8" s="4">
        <v>63</v>
      </c>
      <c r="AW8" s="4">
        <v>52</v>
      </c>
      <c r="AX8" s="4">
        <v>112</v>
      </c>
      <c r="AY8" s="4">
        <v>129</v>
      </c>
      <c r="AZ8" s="4">
        <v>160</v>
      </c>
      <c r="BA8" s="4">
        <v>204</v>
      </c>
      <c r="BB8" s="4">
        <v>15</v>
      </c>
      <c r="BC8" s="4">
        <v>20</v>
      </c>
      <c r="BD8" s="4">
        <v>21</v>
      </c>
      <c r="BE8" s="4">
        <v>25</v>
      </c>
      <c r="BF8" s="4">
        <v>19</v>
      </c>
      <c r="BG8" s="4">
        <v>28</v>
      </c>
      <c r="BH8" s="4">
        <v>28</v>
      </c>
      <c r="BI8" s="4">
        <v>22</v>
      </c>
      <c r="BJ8" s="4">
        <v>26</v>
      </c>
      <c r="BK8" s="4">
        <v>18</v>
      </c>
      <c r="BL8" s="4">
        <v>223</v>
      </c>
      <c r="BM8" s="4">
        <v>66</v>
      </c>
      <c r="BN8" s="4">
        <v>99</v>
      </c>
      <c r="BO8" s="4">
        <v>116</v>
      </c>
      <c r="BP8" s="4">
        <v>86</v>
      </c>
      <c r="BQ8" s="4">
        <v>63</v>
      </c>
      <c r="BR8" s="4">
        <v>95</v>
      </c>
      <c r="BS8" s="4">
        <v>63</v>
      </c>
      <c r="BT8" s="4">
        <v>53</v>
      </c>
      <c r="BU8" s="4">
        <v>55</v>
      </c>
      <c r="BV8" s="4">
        <v>55</v>
      </c>
      <c r="BW8" s="4">
        <v>89</v>
      </c>
      <c r="BX8" s="4">
        <v>123</v>
      </c>
      <c r="BY8" s="4">
        <v>42</v>
      </c>
      <c r="BZ8" s="4">
        <v>39</v>
      </c>
      <c r="CA8" s="4">
        <v>54</v>
      </c>
      <c r="CB8" s="4">
        <v>54</v>
      </c>
      <c r="CC8" s="4">
        <v>33</v>
      </c>
      <c r="CD8" s="4">
        <v>44</v>
      </c>
      <c r="CE8" s="4">
        <v>28</v>
      </c>
      <c r="CF8" s="4">
        <v>24</v>
      </c>
      <c r="CG8" s="4">
        <v>65</v>
      </c>
      <c r="CH8" s="4">
        <v>32</v>
      </c>
      <c r="CI8" s="4">
        <v>24</v>
      </c>
      <c r="CJ8" s="4">
        <v>28</v>
      </c>
      <c r="CK8" s="4">
        <v>34</v>
      </c>
      <c r="CL8" s="4">
        <v>37</v>
      </c>
      <c r="CM8" s="4"/>
    </row>
    <row r="9" spans="1:91" x14ac:dyDescent="0.25">
      <c r="A9" s="1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>
        <v>55</v>
      </c>
      <c r="N9" s="4">
        <v>127</v>
      </c>
      <c r="O9" s="4">
        <v>44</v>
      </c>
      <c r="P9" s="4">
        <v>78</v>
      </c>
      <c r="Q9" s="4">
        <v>55</v>
      </c>
      <c r="R9" s="4">
        <v>67</v>
      </c>
      <c r="S9" s="4">
        <v>57</v>
      </c>
      <c r="T9" s="4">
        <v>44</v>
      </c>
      <c r="U9" s="4">
        <v>13</v>
      </c>
      <c r="V9" s="4">
        <v>58</v>
      </c>
      <c r="W9" s="4">
        <v>78</v>
      </c>
      <c r="X9" s="4">
        <v>45</v>
      </c>
      <c r="Y9" s="4">
        <v>61</v>
      </c>
      <c r="Z9" s="4">
        <v>32</v>
      </c>
      <c r="AA9" s="4">
        <v>26</v>
      </c>
      <c r="AB9" s="4">
        <v>90</v>
      </c>
      <c r="AC9" s="4">
        <v>14</v>
      </c>
      <c r="AD9" s="4">
        <v>2</v>
      </c>
      <c r="AE9" s="4">
        <v>69</v>
      </c>
      <c r="AF9" s="4">
        <v>8</v>
      </c>
      <c r="AG9" s="4">
        <v>36</v>
      </c>
      <c r="AH9" s="4">
        <v>20</v>
      </c>
      <c r="AI9" s="4">
        <v>31</v>
      </c>
      <c r="AJ9" s="4">
        <v>33</v>
      </c>
      <c r="AK9" s="4">
        <v>30</v>
      </c>
      <c r="AL9" s="4">
        <v>47</v>
      </c>
      <c r="AM9" s="4">
        <v>43</v>
      </c>
      <c r="AN9" s="4">
        <v>36</v>
      </c>
      <c r="AO9" s="4">
        <v>59</v>
      </c>
      <c r="AP9" s="4">
        <v>64</v>
      </c>
      <c r="AQ9" s="4">
        <v>51</v>
      </c>
      <c r="AR9" s="4">
        <v>92</v>
      </c>
      <c r="AS9" s="4">
        <v>92</v>
      </c>
      <c r="AT9" s="4">
        <v>61</v>
      </c>
      <c r="AU9" s="4">
        <v>89</v>
      </c>
      <c r="AV9" s="4">
        <v>48</v>
      </c>
      <c r="AW9" s="4">
        <v>33</v>
      </c>
      <c r="AX9" s="4">
        <v>90</v>
      </c>
      <c r="AY9" s="4">
        <v>64</v>
      </c>
      <c r="AZ9" s="4">
        <v>76</v>
      </c>
      <c r="BA9" s="4">
        <v>84</v>
      </c>
      <c r="BB9" s="4">
        <v>11</v>
      </c>
      <c r="BC9" s="4">
        <v>11</v>
      </c>
      <c r="BD9" s="4">
        <v>24</v>
      </c>
      <c r="BE9" s="4">
        <v>33</v>
      </c>
      <c r="BF9" s="4">
        <v>26</v>
      </c>
      <c r="BG9" s="4">
        <v>50</v>
      </c>
      <c r="BH9" s="4">
        <v>38</v>
      </c>
      <c r="BI9" s="4">
        <v>26</v>
      </c>
      <c r="BJ9" s="4">
        <v>19</v>
      </c>
      <c r="BK9" s="4">
        <v>16</v>
      </c>
      <c r="BL9" s="4">
        <v>276</v>
      </c>
      <c r="BM9" s="4">
        <v>124</v>
      </c>
      <c r="BN9" s="4">
        <v>155</v>
      </c>
      <c r="BO9" s="4">
        <v>156</v>
      </c>
      <c r="BP9" s="4">
        <v>99</v>
      </c>
      <c r="BQ9" s="4">
        <v>113</v>
      </c>
      <c r="BR9" s="4">
        <v>103</v>
      </c>
      <c r="BS9" s="4">
        <v>56</v>
      </c>
      <c r="BT9" s="4">
        <v>33</v>
      </c>
      <c r="BU9" s="4">
        <v>66</v>
      </c>
      <c r="BV9" s="4">
        <v>85</v>
      </c>
      <c r="BW9" s="4">
        <v>110</v>
      </c>
      <c r="BX9" s="4">
        <v>141</v>
      </c>
      <c r="BY9" s="4">
        <v>40</v>
      </c>
      <c r="BZ9" s="4">
        <v>88</v>
      </c>
      <c r="CA9" s="4">
        <v>122</v>
      </c>
      <c r="CB9" s="4">
        <v>85</v>
      </c>
      <c r="CC9" s="4">
        <v>41</v>
      </c>
      <c r="CD9" s="4">
        <v>73</v>
      </c>
      <c r="CE9" s="4">
        <v>40</v>
      </c>
      <c r="CF9" s="4">
        <v>52</v>
      </c>
      <c r="CG9" s="4">
        <v>117</v>
      </c>
      <c r="CH9" s="4">
        <v>29</v>
      </c>
      <c r="CI9" s="4">
        <v>40</v>
      </c>
      <c r="CJ9" s="4">
        <v>23</v>
      </c>
      <c r="CK9" s="4">
        <v>37</v>
      </c>
      <c r="CL9" s="4">
        <v>42</v>
      </c>
      <c r="CM9" s="4"/>
    </row>
    <row r="10" spans="1:91" x14ac:dyDescent="0.25">
      <c r="A10" s="1" t="s">
        <v>15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>
        <v>53</v>
      </c>
      <c r="N10" s="4">
        <v>186</v>
      </c>
      <c r="O10" s="4">
        <v>434</v>
      </c>
      <c r="P10" s="4">
        <v>303</v>
      </c>
      <c r="Q10" s="4">
        <v>687</v>
      </c>
      <c r="R10" s="4">
        <v>456</v>
      </c>
      <c r="S10" s="4">
        <v>175</v>
      </c>
      <c r="T10" s="4">
        <v>284</v>
      </c>
      <c r="U10" s="4">
        <v>177</v>
      </c>
      <c r="V10" s="4">
        <v>394</v>
      </c>
      <c r="W10" s="4">
        <v>124</v>
      </c>
      <c r="X10" s="4">
        <v>72</v>
      </c>
      <c r="Y10" s="4">
        <v>189</v>
      </c>
      <c r="Z10" s="4">
        <v>837</v>
      </c>
      <c r="AA10" s="4">
        <v>457</v>
      </c>
      <c r="AB10" s="4">
        <v>604</v>
      </c>
      <c r="AC10" s="4">
        <v>174</v>
      </c>
      <c r="AD10" s="4">
        <v>475</v>
      </c>
      <c r="AE10" s="4">
        <v>1330</v>
      </c>
      <c r="AF10" s="4">
        <v>171</v>
      </c>
      <c r="AG10" s="4">
        <v>475</v>
      </c>
      <c r="AH10" s="4">
        <v>756</v>
      </c>
      <c r="AI10" s="4">
        <v>709</v>
      </c>
      <c r="AJ10" s="4">
        <v>378</v>
      </c>
      <c r="AK10" s="4">
        <v>77</v>
      </c>
      <c r="AL10" s="4">
        <v>1075</v>
      </c>
      <c r="AM10" s="4">
        <v>148</v>
      </c>
      <c r="AN10" s="4">
        <v>2940</v>
      </c>
      <c r="AO10" s="4">
        <v>5095</v>
      </c>
      <c r="AP10" s="4">
        <v>197</v>
      </c>
      <c r="AQ10" s="4">
        <v>650</v>
      </c>
      <c r="AR10" s="4">
        <v>1268</v>
      </c>
      <c r="AS10" s="4">
        <v>212</v>
      </c>
      <c r="AT10" s="4">
        <v>335</v>
      </c>
      <c r="AU10" s="4">
        <v>748</v>
      </c>
      <c r="AV10" s="4">
        <v>111</v>
      </c>
      <c r="AW10" s="4">
        <v>173</v>
      </c>
      <c r="AX10" s="4">
        <v>769</v>
      </c>
      <c r="AY10" s="4">
        <v>269</v>
      </c>
      <c r="AZ10" s="4">
        <v>558</v>
      </c>
      <c r="BA10" s="4">
        <v>441</v>
      </c>
      <c r="BB10" s="4">
        <v>12</v>
      </c>
      <c r="BC10" s="4">
        <v>9</v>
      </c>
      <c r="BD10" s="4">
        <v>15</v>
      </c>
      <c r="BE10" s="4">
        <v>21</v>
      </c>
      <c r="BF10" s="4">
        <v>14</v>
      </c>
      <c r="BG10" s="4">
        <v>27</v>
      </c>
      <c r="BH10" s="4">
        <v>27</v>
      </c>
      <c r="BI10" s="4">
        <v>14</v>
      </c>
      <c r="BJ10" s="4">
        <v>19</v>
      </c>
      <c r="BK10" s="4">
        <v>24</v>
      </c>
      <c r="BL10" s="4">
        <v>96</v>
      </c>
      <c r="BM10" s="4">
        <v>20</v>
      </c>
      <c r="BN10" s="4">
        <v>43</v>
      </c>
      <c r="BO10" s="4">
        <v>58</v>
      </c>
      <c r="BP10" s="4">
        <v>37</v>
      </c>
      <c r="BQ10" s="4">
        <v>45</v>
      </c>
      <c r="BR10" s="4">
        <v>276</v>
      </c>
      <c r="BS10" s="4">
        <v>388</v>
      </c>
      <c r="BT10" s="4">
        <v>13</v>
      </c>
      <c r="BU10" s="4">
        <v>25</v>
      </c>
      <c r="BV10" s="4">
        <v>45</v>
      </c>
      <c r="BW10" s="4">
        <v>58</v>
      </c>
      <c r="BX10" s="4">
        <v>105</v>
      </c>
      <c r="BY10" s="4">
        <v>10</v>
      </c>
      <c r="BZ10" s="4">
        <v>37</v>
      </c>
      <c r="CA10" s="4">
        <v>44</v>
      </c>
      <c r="CB10" s="4">
        <v>25</v>
      </c>
      <c r="CC10" s="4">
        <v>36</v>
      </c>
      <c r="CD10" s="4">
        <v>22</v>
      </c>
      <c r="CE10" s="4">
        <v>29</v>
      </c>
      <c r="CF10" s="4">
        <v>27</v>
      </c>
      <c r="CG10" s="4"/>
      <c r="CH10" s="4">
        <v>148</v>
      </c>
      <c r="CI10" s="4">
        <v>22</v>
      </c>
      <c r="CJ10" s="4">
        <v>19</v>
      </c>
      <c r="CK10" s="4">
        <v>17</v>
      </c>
      <c r="CL10" s="4">
        <v>31</v>
      </c>
      <c r="CM10" s="4"/>
    </row>
    <row r="11" spans="1:91" x14ac:dyDescent="0.25">
      <c r="A11" s="1" t="s">
        <v>16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>
        <v>479</v>
      </c>
      <c r="N11" s="4">
        <v>356</v>
      </c>
      <c r="O11" s="4">
        <v>380</v>
      </c>
      <c r="P11" s="4">
        <v>498</v>
      </c>
      <c r="Q11" s="4">
        <v>711</v>
      </c>
      <c r="R11" s="4">
        <v>847</v>
      </c>
      <c r="S11" s="4">
        <v>223</v>
      </c>
      <c r="T11" s="4">
        <v>423</v>
      </c>
      <c r="U11" s="4">
        <v>271</v>
      </c>
      <c r="V11" s="4">
        <v>485</v>
      </c>
      <c r="W11" s="4">
        <v>219</v>
      </c>
      <c r="X11" s="4">
        <v>282</v>
      </c>
      <c r="Y11" s="4">
        <v>166</v>
      </c>
      <c r="Z11" s="4">
        <v>797</v>
      </c>
      <c r="AA11" s="4">
        <v>415</v>
      </c>
      <c r="AB11" s="4">
        <v>389</v>
      </c>
      <c r="AC11" s="4">
        <v>638</v>
      </c>
      <c r="AD11" s="4">
        <v>376</v>
      </c>
      <c r="AE11" s="4">
        <v>683</v>
      </c>
      <c r="AF11" s="4">
        <v>138</v>
      </c>
      <c r="AG11" s="4">
        <v>273</v>
      </c>
      <c r="AH11" s="4">
        <v>858</v>
      </c>
      <c r="AI11" s="4">
        <v>226</v>
      </c>
      <c r="AJ11" s="4">
        <v>436</v>
      </c>
      <c r="AK11" s="4">
        <v>136</v>
      </c>
      <c r="AL11" s="4">
        <v>393</v>
      </c>
      <c r="AM11" s="4">
        <v>493</v>
      </c>
      <c r="AN11" s="4">
        <v>314</v>
      </c>
      <c r="AO11" s="4">
        <v>569</v>
      </c>
      <c r="AP11" s="4">
        <v>105</v>
      </c>
      <c r="AQ11" s="4">
        <v>91</v>
      </c>
      <c r="AR11" s="4">
        <v>154</v>
      </c>
      <c r="AS11" s="4">
        <v>49</v>
      </c>
      <c r="AT11" s="4">
        <v>52</v>
      </c>
      <c r="AU11" s="4">
        <v>166</v>
      </c>
      <c r="AV11" s="4">
        <v>58</v>
      </c>
      <c r="AW11" s="4">
        <v>74</v>
      </c>
      <c r="AX11" s="4">
        <v>180</v>
      </c>
      <c r="AY11" s="4">
        <v>88</v>
      </c>
      <c r="AZ11" s="4">
        <v>99</v>
      </c>
      <c r="BA11" s="4">
        <v>88</v>
      </c>
      <c r="BB11" s="4">
        <v>110</v>
      </c>
      <c r="BC11" s="4">
        <v>72</v>
      </c>
      <c r="BD11" s="4">
        <v>133</v>
      </c>
      <c r="BE11" s="4">
        <v>95</v>
      </c>
      <c r="BF11" s="4">
        <v>190</v>
      </c>
      <c r="BG11" s="4">
        <v>193</v>
      </c>
      <c r="BH11" s="4">
        <v>120</v>
      </c>
      <c r="BI11" s="4">
        <v>169</v>
      </c>
      <c r="BJ11" s="4">
        <v>161</v>
      </c>
      <c r="BK11" s="4">
        <v>210</v>
      </c>
      <c r="BL11" s="4">
        <v>345</v>
      </c>
      <c r="BM11" s="4">
        <v>131</v>
      </c>
      <c r="BN11" s="4">
        <v>171</v>
      </c>
      <c r="BO11" s="4">
        <v>78</v>
      </c>
      <c r="BP11" s="4">
        <v>176</v>
      </c>
      <c r="BQ11" s="4">
        <v>150</v>
      </c>
      <c r="BR11" s="4">
        <v>247</v>
      </c>
      <c r="BS11" s="4">
        <v>547</v>
      </c>
      <c r="BT11" s="4">
        <v>257</v>
      </c>
      <c r="BU11" s="4">
        <v>139</v>
      </c>
      <c r="BV11" s="4">
        <v>181</v>
      </c>
      <c r="BW11" s="4">
        <v>320</v>
      </c>
      <c r="BX11" s="4">
        <v>260</v>
      </c>
      <c r="BY11" s="4">
        <v>99</v>
      </c>
      <c r="BZ11" s="4">
        <v>168</v>
      </c>
      <c r="CA11" s="4">
        <v>156</v>
      </c>
      <c r="CB11" s="4">
        <v>122</v>
      </c>
      <c r="CC11" s="4">
        <v>174</v>
      </c>
      <c r="CD11" s="4">
        <v>156</v>
      </c>
      <c r="CE11" s="4">
        <v>195</v>
      </c>
      <c r="CF11" s="4">
        <v>182</v>
      </c>
      <c r="CG11" s="4"/>
      <c r="CH11" s="4">
        <v>278</v>
      </c>
      <c r="CI11" s="4">
        <v>170</v>
      </c>
      <c r="CJ11" s="4">
        <v>178</v>
      </c>
      <c r="CK11" s="4">
        <v>121</v>
      </c>
      <c r="CL11" s="4">
        <v>183</v>
      </c>
      <c r="CM11" s="4"/>
    </row>
    <row r="12" spans="1:91" x14ac:dyDescent="0.25">
      <c r="A12" s="1" t="s">
        <v>17</v>
      </c>
      <c r="B12" s="41">
        <v>13.9</v>
      </c>
      <c r="C12" s="41">
        <v>30.6</v>
      </c>
      <c r="D12" s="41">
        <v>29.1</v>
      </c>
      <c r="E12" s="41">
        <v>18.2</v>
      </c>
      <c r="F12" s="41">
        <v>21.3</v>
      </c>
      <c r="G12" s="41">
        <v>12.8</v>
      </c>
      <c r="H12" s="41">
        <v>25.6</v>
      </c>
      <c r="I12" s="41">
        <v>39.6</v>
      </c>
      <c r="J12" s="41">
        <v>12</v>
      </c>
      <c r="K12" s="41">
        <v>19.5</v>
      </c>
      <c r="L12" s="41">
        <v>16.399999999999999</v>
      </c>
      <c r="M12" s="41">
        <v>25</v>
      </c>
      <c r="N12" s="41">
        <v>16.399999999999999</v>
      </c>
      <c r="O12" s="41">
        <v>20.5</v>
      </c>
      <c r="P12" s="41">
        <v>35.799999999999997</v>
      </c>
      <c r="Q12" s="41">
        <v>12.7</v>
      </c>
      <c r="R12" s="41">
        <v>10</v>
      </c>
      <c r="S12" s="41">
        <v>26.6</v>
      </c>
      <c r="T12" s="41">
        <v>21</v>
      </c>
      <c r="U12" s="41">
        <v>5.7</v>
      </c>
      <c r="V12" s="41">
        <v>19.600000000000001</v>
      </c>
      <c r="W12" s="41">
        <v>18.399999999999999</v>
      </c>
      <c r="X12" s="41">
        <v>26.8</v>
      </c>
      <c r="Y12" s="41">
        <v>13.7</v>
      </c>
      <c r="Z12" s="41">
        <v>13.9</v>
      </c>
      <c r="AA12" s="41">
        <v>30.8</v>
      </c>
      <c r="AB12" s="41">
        <v>10.5</v>
      </c>
      <c r="AC12" s="41">
        <v>11.2</v>
      </c>
      <c r="AD12" s="41">
        <v>31.5</v>
      </c>
      <c r="AE12" s="41">
        <v>2.7</v>
      </c>
      <c r="AF12" s="41">
        <v>1.7</v>
      </c>
      <c r="AG12" s="41">
        <v>0.9</v>
      </c>
      <c r="AH12" s="41">
        <v>2.6</v>
      </c>
      <c r="AI12" s="41">
        <v>1.4</v>
      </c>
      <c r="AJ12" s="41">
        <v>0.9</v>
      </c>
      <c r="AK12" s="41">
        <v>0.7</v>
      </c>
      <c r="AL12" s="41">
        <v>4.8</v>
      </c>
      <c r="AM12" s="41">
        <v>0.8</v>
      </c>
      <c r="AN12" s="41">
        <v>3.8</v>
      </c>
      <c r="AO12" s="41">
        <v>4.4000000000000004</v>
      </c>
      <c r="AP12" s="41">
        <v>1</v>
      </c>
      <c r="AQ12" s="41">
        <v>0.4</v>
      </c>
      <c r="AR12" s="41">
        <v>0.7</v>
      </c>
      <c r="AS12" s="41">
        <v>1.2999999523162842</v>
      </c>
      <c r="AT12" s="41">
        <v>1.5</v>
      </c>
      <c r="AU12" s="41">
        <v>1.7000000476837158</v>
      </c>
      <c r="AV12" s="41">
        <v>0.40000000596046448</v>
      </c>
      <c r="AW12" s="41">
        <v>1.2000000476837158</v>
      </c>
      <c r="AX12" s="41">
        <v>1.2000000476837158</v>
      </c>
      <c r="AY12" s="41">
        <v>1.5</v>
      </c>
      <c r="AZ12" s="41">
        <v>0.80000001192092896</v>
      </c>
      <c r="BA12" s="41">
        <v>1.2000000476837158</v>
      </c>
      <c r="BB12" s="41">
        <v>0.5</v>
      </c>
      <c r="BC12" s="41">
        <v>0.6</v>
      </c>
      <c r="BD12" s="41">
        <v>0.7</v>
      </c>
      <c r="BE12" s="41">
        <v>0.5</v>
      </c>
      <c r="BF12" s="41">
        <v>0.4</v>
      </c>
      <c r="BG12" s="41">
        <v>0.6</v>
      </c>
      <c r="BH12" s="41">
        <v>0.6</v>
      </c>
      <c r="BI12" s="41">
        <v>0.8</v>
      </c>
      <c r="BJ12" s="41">
        <v>0.7</v>
      </c>
      <c r="BK12" s="41">
        <v>0.5</v>
      </c>
      <c r="BL12" s="41">
        <v>1.8</v>
      </c>
      <c r="BM12" s="41">
        <v>1.5</v>
      </c>
      <c r="BN12" s="41">
        <v>1.1000000000000001</v>
      </c>
      <c r="BO12" s="41">
        <v>0.8</v>
      </c>
      <c r="BP12" s="41">
        <v>1.1000000000000001</v>
      </c>
      <c r="BQ12" s="41">
        <v>0.6</v>
      </c>
      <c r="BR12" s="41">
        <v>0.7</v>
      </c>
      <c r="BS12" s="41">
        <v>0.8</v>
      </c>
      <c r="BT12" s="41">
        <v>1.9</v>
      </c>
      <c r="BU12" s="41">
        <v>0.9</v>
      </c>
      <c r="BV12" s="41">
        <v>1.7</v>
      </c>
      <c r="BW12" s="41">
        <v>0.8</v>
      </c>
      <c r="BX12" s="41">
        <v>1</v>
      </c>
      <c r="BY12" s="41">
        <v>0.6</v>
      </c>
      <c r="BZ12" s="41">
        <v>0.6</v>
      </c>
      <c r="CA12" s="41">
        <v>0.6</v>
      </c>
      <c r="CB12" s="41">
        <v>0.7</v>
      </c>
      <c r="CC12" s="41">
        <v>1.4</v>
      </c>
      <c r="CD12" s="41">
        <v>0.6</v>
      </c>
      <c r="CE12" s="41">
        <v>0.8</v>
      </c>
      <c r="CF12" s="41">
        <v>0.4</v>
      </c>
      <c r="CG12" s="41">
        <v>0.63</v>
      </c>
      <c r="CH12" s="41">
        <v>0.9</v>
      </c>
      <c r="CI12" s="41">
        <v>0.5</v>
      </c>
      <c r="CJ12" s="41">
        <v>0.2</v>
      </c>
      <c r="CK12" s="41">
        <v>0.4</v>
      </c>
      <c r="CL12" s="41">
        <v>0.7</v>
      </c>
      <c r="CM12" s="41"/>
    </row>
    <row r="13" spans="1:91" x14ac:dyDescent="0.25">
      <c r="A13" s="1" t="s">
        <v>20</v>
      </c>
      <c r="B13" s="4"/>
      <c r="C13" s="4">
        <v>2</v>
      </c>
      <c r="D13" s="4">
        <v>3.7</v>
      </c>
      <c r="E13" s="4">
        <v>2.8</v>
      </c>
      <c r="F13" s="4"/>
      <c r="G13" s="4">
        <v>2.37</v>
      </c>
      <c r="H13" s="4">
        <v>3.6</v>
      </c>
      <c r="I13" s="4">
        <v>1.9</v>
      </c>
      <c r="J13" s="4">
        <v>1.5</v>
      </c>
      <c r="K13" s="4">
        <v>2.0499999999999998</v>
      </c>
      <c r="L13" s="4">
        <v>1.9</v>
      </c>
      <c r="M13" s="4">
        <v>2.23</v>
      </c>
      <c r="N13" s="4">
        <v>1.56</v>
      </c>
      <c r="O13" s="4">
        <v>2.11</v>
      </c>
      <c r="P13" s="4">
        <v>1.62</v>
      </c>
      <c r="Q13" s="4">
        <v>1.67</v>
      </c>
      <c r="R13" s="4">
        <v>1.76</v>
      </c>
      <c r="S13" s="4">
        <v>1.59</v>
      </c>
      <c r="T13" s="4">
        <v>1.74</v>
      </c>
      <c r="U13" s="4">
        <v>1.56</v>
      </c>
      <c r="V13" s="4">
        <v>1.42</v>
      </c>
      <c r="W13" s="4">
        <v>1.49</v>
      </c>
      <c r="X13" s="4">
        <v>3.32</v>
      </c>
      <c r="Y13" s="4">
        <v>1.46</v>
      </c>
      <c r="Z13" s="4">
        <v>1.68</v>
      </c>
      <c r="AA13" s="4">
        <v>2.2000000000000002</v>
      </c>
      <c r="AB13" s="4">
        <v>1.35</v>
      </c>
      <c r="AC13" s="4">
        <v>1.79</v>
      </c>
      <c r="AD13" s="4">
        <v>1.82</v>
      </c>
      <c r="AE13" s="4">
        <v>1.18</v>
      </c>
      <c r="AF13" s="4">
        <v>1.25</v>
      </c>
      <c r="AG13" s="4">
        <v>1.42</v>
      </c>
      <c r="AH13" s="4">
        <v>1.44</v>
      </c>
      <c r="AI13" s="4">
        <v>1.45</v>
      </c>
      <c r="AJ13" s="4">
        <v>1.06</v>
      </c>
      <c r="AK13" s="4">
        <v>0.99</v>
      </c>
      <c r="AL13" s="4">
        <v>1.68</v>
      </c>
      <c r="AM13" s="4">
        <v>1.23</v>
      </c>
      <c r="AN13" s="4">
        <v>1.1299999999999999</v>
      </c>
      <c r="AO13" s="4">
        <v>1.27</v>
      </c>
      <c r="AP13" s="4">
        <v>0.99</v>
      </c>
      <c r="AQ13" s="4">
        <v>0.95</v>
      </c>
      <c r="AR13" s="4">
        <v>0.81</v>
      </c>
      <c r="AS13" s="4">
        <v>0.97000002861022949</v>
      </c>
      <c r="AT13" s="4">
        <v>1.0299999713897705</v>
      </c>
      <c r="AU13" s="4">
        <v>1.0099999904632568</v>
      </c>
      <c r="AV13" s="4">
        <v>1.0199999809265137</v>
      </c>
      <c r="AW13" s="4">
        <v>1.2000000476837158</v>
      </c>
      <c r="AX13" s="4">
        <v>0.89999997615814209</v>
      </c>
      <c r="AY13" s="4">
        <v>0.89999997615814209</v>
      </c>
      <c r="AZ13" s="4">
        <v>1.0199999809265137</v>
      </c>
      <c r="BA13" s="4">
        <v>0.99000000953674316</v>
      </c>
      <c r="BB13" s="4">
        <v>1.07</v>
      </c>
      <c r="BC13" s="4">
        <v>1.05</v>
      </c>
      <c r="BD13" s="4">
        <v>1.02</v>
      </c>
      <c r="BE13" s="4">
        <v>0.89</v>
      </c>
      <c r="BF13" s="4">
        <v>0.98599999999999999</v>
      </c>
      <c r="BG13" s="4">
        <v>1.04</v>
      </c>
      <c r="BH13" s="4">
        <v>0.99</v>
      </c>
      <c r="BI13" s="4">
        <v>1.07</v>
      </c>
      <c r="BJ13" s="4">
        <v>1.03</v>
      </c>
      <c r="BK13" s="4">
        <v>0.99</v>
      </c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</row>
    <row r="14" spans="1:91" x14ac:dyDescent="0.25">
      <c r="A14" s="1" t="s">
        <v>22</v>
      </c>
      <c r="B14" s="42">
        <v>23</v>
      </c>
      <c r="C14" s="42">
        <v>22.5</v>
      </c>
      <c r="D14" s="42">
        <v>23</v>
      </c>
      <c r="E14" s="42">
        <v>14.3</v>
      </c>
      <c r="F14" s="42"/>
      <c r="G14" s="42">
        <v>20</v>
      </c>
      <c r="H14" s="42">
        <v>40</v>
      </c>
      <c r="I14" s="42">
        <v>34</v>
      </c>
      <c r="J14" s="42">
        <v>26.4</v>
      </c>
      <c r="K14" s="42">
        <v>27</v>
      </c>
      <c r="L14" s="42">
        <v>23</v>
      </c>
      <c r="M14" s="4">
        <v>22</v>
      </c>
      <c r="N14" s="4">
        <v>22</v>
      </c>
      <c r="O14" s="4">
        <v>32</v>
      </c>
      <c r="P14" s="4">
        <v>29</v>
      </c>
      <c r="Q14" s="4">
        <v>24</v>
      </c>
      <c r="R14" s="4">
        <v>29</v>
      </c>
      <c r="S14" s="4">
        <v>32</v>
      </c>
      <c r="T14" s="4">
        <v>23</v>
      </c>
      <c r="U14" s="4">
        <v>25</v>
      </c>
      <c r="V14" s="4">
        <v>33</v>
      </c>
      <c r="W14" s="4">
        <v>30</v>
      </c>
      <c r="X14" s="4">
        <v>21</v>
      </c>
      <c r="Y14" s="4">
        <v>25</v>
      </c>
      <c r="Z14" s="4">
        <v>26</v>
      </c>
      <c r="AA14" s="4">
        <v>30</v>
      </c>
      <c r="AB14" s="4">
        <v>21</v>
      </c>
      <c r="AC14" s="4">
        <v>23</v>
      </c>
      <c r="AD14" s="4">
        <v>23</v>
      </c>
      <c r="AE14" s="4">
        <v>24</v>
      </c>
      <c r="AF14" s="4">
        <v>29</v>
      </c>
      <c r="AG14" s="4">
        <v>32</v>
      </c>
      <c r="AH14" s="4">
        <v>23</v>
      </c>
      <c r="AI14" s="4">
        <v>29</v>
      </c>
      <c r="AJ14" s="4">
        <v>32</v>
      </c>
      <c r="AK14" s="4">
        <v>41</v>
      </c>
      <c r="AL14" s="4">
        <v>37</v>
      </c>
      <c r="AM14" s="4">
        <v>36</v>
      </c>
      <c r="AN14" s="4">
        <v>39</v>
      </c>
      <c r="AO14" s="4">
        <v>35</v>
      </c>
      <c r="AP14" s="4">
        <v>52.6</v>
      </c>
      <c r="AQ14" s="4"/>
      <c r="AR14" s="4"/>
      <c r="AS14" s="4">
        <v>43</v>
      </c>
      <c r="AT14" s="4">
        <v>40</v>
      </c>
      <c r="AU14" s="4">
        <v>40.9</v>
      </c>
      <c r="AV14" s="4">
        <v>46.9</v>
      </c>
      <c r="AW14" s="4">
        <v>41.9</v>
      </c>
      <c r="AX14" s="4">
        <v>46.9</v>
      </c>
      <c r="AY14" s="4">
        <v>45.9</v>
      </c>
      <c r="AZ14" s="4">
        <v>45</v>
      </c>
      <c r="BA14" s="4">
        <v>45</v>
      </c>
      <c r="BB14" s="4">
        <v>38</v>
      </c>
      <c r="BC14" s="4">
        <v>44</v>
      </c>
      <c r="BD14" s="4">
        <v>46</v>
      </c>
      <c r="BE14" s="4">
        <v>46</v>
      </c>
      <c r="BF14" s="4">
        <v>46</v>
      </c>
      <c r="BG14" s="4">
        <v>45</v>
      </c>
      <c r="BH14" s="4">
        <v>46</v>
      </c>
      <c r="BI14" s="4">
        <v>50</v>
      </c>
      <c r="BJ14" s="4">
        <v>46</v>
      </c>
      <c r="BK14" s="4">
        <v>41</v>
      </c>
      <c r="BL14" s="4"/>
      <c r="BM14" s="4">
        <v>41</v>
      </c>
      <c r="BN14" s="4">
        <v>41</v>
      </c>
      <c r="BO14" s="4">
        <v>47</v>
      </c>
      <c r="BP14" s="4"/>
      <c r="BQ14" s="4">
        <v>45</v>
      </c>
      <c r="BR14" s="4">
        <v>45</v>
      </c>
      <c r="BS14" s="4">
        <v>39</v>
      </c>
      <c r="BT14" s="4">
        <v>40</v>
      </c>
      <c r="BU14" s="4">
        <v>46</v>
      </c>
      <c r="BV14" s="4">
        <v>47</v>
      </c>
      <c r="BW14" s="4">
        <v>41</v>
      </c>
      <c r="BX14" s="4">
        <v>39</v>
      </c>
      <c r="BY14" s="4"/>
      <c r="BZ14" s="4">
        <v>48</v>
      </c>
      <c r="CA14" s="4"/>
      <c r="CB14" s="4">
        <v>44</v>
      </c>
      <c r="CC14" s="4">
        <v>44</v>
      </c>
      <c r="CD14" s="4">
        <v>44</v>
      </c>
      <c r="CE14" s="4">
        <v>45</v>
      </c>
      <c r="CF14" s="4">
        <v>46</v>
      </c>
      <c r="CG14" s="4"/>
      <c r="CH14" s="4">
        <v>45</v>
      </c>
      <c r="CI14" s="4">
        <v>47</v>
      </c>
      <c r="CJ14" s="4">
        <v>45</v>
      </c>
      <c r="CK14" s="4">
        <v>29</v>
      </c>
      <c r="CL14" s="4">
        <v>44</v>
      </c>
      <c r="CM14" s="4"/>
    </row>
    <row r="15" spans="1:91" ht="381" customHeight="1" x14ac:dyDescent="0.25">
      <c r="A15" s="1" t="s">
        <v>46</v>
      </c>
      <c r="B15" s="4">
        <v>10</v>
      </c>
      <c r="C15" s="4">
        <v>12</v>
      </c>
      <c r="D15" s="4">
        <v>13</v>
      </c>
      <c r="E15" s="4">
        <v>13</v>
      </c>
      <c r="F15" s="4">
        <v>12</v>
      </c>
      <c r="G15" s="4">
        <v>13</v>
      </c>
      <c r="H15" s="4">
        <v>9</v>
      </c>
      <c r="I15" s="4">
        <v>12</v>
      </c>
      <c r="J15" s="4">
        <v>12</v>
      </c>
      <c r="K15" s="4">
        <v>11</v>
      </c>
      <c r="L15" s="4">
        <v>14</v>
      </c>
      <c r="M15" s="4">
        <v>11</v>
      </c>
      <c r="N15" s="4">
        <v>9</v>
      </c>
      <c r="O15" s="4">
        <v>9</v>
      </c>
      <c r="P15" s="4">
        <v>9</v>
      </c>
      <c r="Q15" s="4">
        <v>12</v>
      </c>
      <c r="R15" s="4">
        <v>10</v>
      </c>
      <c r="S15" s="4">
        <v>10</v>
      </c>
      <c r="T15" s="4">
        <v>11</v>
      </c>
      <c r="U15" s="4">
        <v>11</v>
      </c>
      <c r="V15" s="4">
        <v>9</v>
      </c>
      <c r="W15" s="4">
        <v>9</v>
      </c>
      <c r="X15" s="4">
        <v>13</v>
      </c>
      <c r="Y15" s="4">
        <v>9</v>
      </c>
      <c r="Z15" s="4">
        <v>12</v>
      </c>
      <c r="AA15" s="4">
        <v>12</v>
      </c>
      <c r="AB15" s="4">
        <v>12</v>
      </c>
      <c r="AC15" s="4">
        <v>11</v>
      </c>
      <c r="AD15" s="4">
        <v>11</v>
      </c>
      <c r="AE15" s="4">
        <v>9</v>
      </c>
      <c r="AF15" s="4">
        <v>6</v>
      </c>
      <c r="AG15" s="4">
        <v>7</v>
      </c>
      <c r="AH15" s="4">
        <v>9</v>
      </c>
      <c r="AI15" s="4">
        <v>7</v>
      </c>
      <c r="AJ15" s="4">
        <v>6</v>
      </c>
      <c r="AK15" s="4">
        <v>5</v>
      </c>
      <c r="AL15" s="4">
        <v>9</v>
      </c>
      <c r="AM15" s="4">
        <v>5</v>
      </c>
      <c r="AN15" s="4">
        <v>7</v>
      </c>
      <c r="AO15" s="4">
        <v>8</v>
      </c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</row>
    <row r="16" spans="1:91" ht="381" customHeight="1" x14ac:dyDescent="0.25">
      <c r="A16" s="1" t="s">
        <v>47</v>
      </c>
      <c r="B16" s="42">
        <v>19.210509823634517</v>
      </c>
      <c r="C16" s="42">
        <v>18.112933852313212</v>
      </c>
      <c r="D16" s="42">
        <v>40.925058267532897</v>
      </c>
      <c r="E16" s="42">
        <v>33.427045829943452</v>
      </c>
      <c r="F16" s="42">
        <v>20.937930784093659</v>
      </c>
      <c r="G16" s="42">
        <v>18.142242183011874</v>
      </c>
      <c r="H16" s="42">
        <v>17.989180541711306</v>
      </c>
      <c r="I16" s="42">
        <v>18.102883026164079</v>
      </c>
      <c r="J16" s="42"/>
      <c r="K16" s="42">
        <v>15.47555512756955</v>
      </c>
      <c r="L16" s="4"/>
      <c r="M16" s="4">
        <v>28</v>
      </c>
      <c r="N16" s="4">
        <v>22</v>
      </c>
      <c r="O16" s="4">
        <v>26</v>
      </c>
      <c r="P16" s="4">
        <v>27</v>
      </c>
      <c r="Q16" s="4">
        <v>24</v>
      </c>
      <c r="R16" s="4">
        <v>21</v>
      </c>
      <c r="S16" s="4">
        <v>24</v>
      </c>
      <c r="T16" s="4">
        <v>24</v>
      </c>
      <c r="U16" s="4">
        <v>18</v>
      </c>
      <c r="V16" s="4">
        <v>22</v>
      </c>
      <c r="W16" s="4">
        <v>32</v>
      </c>
      <c r="X16" s="4">
        <v>33</v>
      </c>
      <c r="Y16" s="4">
        <v>24</v>
      </c>
      <c r="Z16" s="4">
        <v>22</v>
      </c>
      <c r="AA16" s="4">
        <v>41</v>
      </c>
      <c r="AB16" s="4">
        <v>21</v>
      </c>
      <c r="AC16" s="4">
        <v>22</v>
      </c>
      <c r="AD16" s="4">
        <v>29</v>
      </c>
      <c r="AE16" s="4">
        <v>12</v>
      </c>
      <c r="AF16" s="4">
        <v>11</v>
      </c>
      <c r="AG16" s="4">
        <v>10</v>
      </c>
      <c r="AH16" s="4">
        <v>14</v>
      </c>
      <c r="AI16" s="4">
        <v>12</v>
      </c>
      <c r="AJ16" s="4">
        <v>7</v>
      </c>
      <c r="AK16" s="4">
        <v>6</v>
      </c>
      <c r="AL16" s="4">
        <v>18</v>
      </c>
      <c r="AM16" s="4">
        <v>19</v>
      </c>
      <c r="AN16" s="4">
        <v>13</v>
      </c>
      <c r="AO16" s="4">
        <v>15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</row>
    <row r="17" spans="1:91" ht="381" customHeight="1" x14ac:dyDescent="0.25">
      <c r="A17" s="1" t="s">
        <v>48</v>
      </c>
      <c r="B17" s="42">
        <v>7.0890000000000004</v>
      </c>
      <c r="C17" s="42">
        <v>8.822000000000001</v>
      </c>
      <c r="D17" s="42">
        <v>10.118</v>
      </c>
      <c r="E17" s="42">
        <v>8.7760000000000016</v>
      </c>
      <c r="F17" s="42">
        <v>9.48</v>
      </c>
      <c r="G17" s="42">
        <v>7.2070000000000007</v>
      </c>
      <c r="H17" s="42">
        <v>6.5420000000000007</v>
      </c>
      <c r="I17" s="42">
        <v>7.56</v>
      </c>
      <c r="J17" s="42"/>
      <c r="K17" s="42">
        <v>8.84</v>
      </c>
      <c r="L17" s="4"/>
      <c r="M17" s="4">
        <v>7.84</v>
      </c>
      <c r="N17" s="4">
        <v>7.04</v>
      </c>
      <c r="O17" s="4">
        <v>8.34</v>
      </c>
      <c r="P17" s="4">
        <v>11.7</v>
      </c>
      <c r="Q17" s="4">
        <v>8.3800000000000008</v>
      </c>
      <c r="R17" s="4">
        <v>7.08</v>
      </c>
      <c r="S17" s="4">
        <v>8.9</v>
      </c>
      <c r="T17" s="4">
        <v>6.92</v>
      </c>
      <c r="U17" s="4">
        <v>7.5</v>
      </c>
      <c r="V17" s="4">
        <v>8.1</v>
      </c>
      <c r="W17" s="4">
        <v>8.6</v>
      </c>
      <c r="X17" s="4">
        <v>8.02</v>
      </c>
      <c r="Y17" s="4">
        <v>8.68</v>
      </c>
      <c r="Z17" s="4">
        <v>8.2799999999999994</v>
      </c>
      <c r="AA17" s="4">
        <v>11.07</v>
      </c>
      <c r="AB17" s="4">
        <v>8.9</v>
      </c>
      <c r="AC17" s="4">
        <v>7.9</v>
      </c>
      <c r="AD17" s="4">
        <v>10.9</v>
      </c>
      <c r="AE17" s="4">
        <v>5.94</v>
      </c>
      <c r="AF17" s="4">
        <v>5.09</v>
      </c>
      <c r="AG17" s="4">
        <v>6.68</v>
      </c>
      <c r="AH17" s="4">
        <v>6</v>
      </c>
      <c r="AI17" s="4">
        <v>6</v>
      </c>
      <c r="AJ17" s="4">
        <v>5.08</v>
      </c>
      <c r="AK17" s="4">
        <v>6.21</v>
      </c>
      <c r="AL17" s="4">
        <v>6.68</v>
      </c>
      <c r="AM17" s="4">
        <v>6.64</v>
      </c>
      <c r="AN17" s="4">
        <v>4.82</v>
      </c>
      <c r="AO17" s="4">
        <v>6.05</v>
      </c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</row>
    <row r="18" spans="1:91" ht="381" customHeight="1" x14ac:dyDescent="0.25"/>
    <row r="19" spans="1:91" ht="381" customHeight="1" x14ac:dyDescent="0.25"/>
    <row r="20" spans="1:91" ht="381" customHeight="1" x14ac:dyDescent="0.25"/>
    <row r="21" spans="1:91" ht="381" customHeight="1" x14ac:dyDescent="0.25"/>
    <row r="22" spans="1:91" ht="381" customHeight="1" x14ac:dyDescent="0.25"/>
  </sheetData>
  <conditionalFormatting sqref="A8:XFD8">
    <cfRule type="colorScale" priority="13">
      <colorScale>
        <cfvo type="min"/>
        <cfvo type="max"/>
        <color rgb="FFF6BED7"/>
        <color rgb="FFE12C2B"/>
      </colorScale>
    </cfRule>
  </conditionalFormatting>
  <conditionalFormatting sqref="A9:XFD9">
    <cfRule type="colorScale" priority="12">
      <colorScale>
        <cfvo type="min"/>
        <cfvo type="max"/>
        <color rgb="FFF6BED7"/>
        <color rgb="FFE12C2B"/>
      </colorScale>
    </cfRule>
  </conditionalFormatting>
  <conditionalFormatting sqref="A10:XFD10">
    <cfRule type="colorScale" priority="11">
      <colorScale>
        <cfvo type="min"/>
        <cfvo type="max"/>
        <color rgb="FFF6BED7"/>
        <color rgb="FFE12C2B"/>
      </colorScale>
    </cfRule>
  </conditionalFormatting>
  <conditionalFormatting sqref="A12:XFD12">
    <cfRule type="colorScale" priority="10">
      <colorScale>
        <cfvo type="min"/>
        <cfvo type="max"/>
        <color rgb="FFF6BED7"/>
        <color rgb="FFE12C2B"/>
      </colorScale>
    </cfRule>
  </conditionalFormatting>
  <conditionalFormatting sqref="A13:XFD13">
    <cfRule type="colorScale" priority="9">
      <colorScale>
        <cfvo type="min"/>
        <cfvo type="max"/>
        <color rgb="FFF6BED7"/>
        <color rgb="FFE12C2B"/>
      </colorScale>
    </cfRule>
  </conditionalFormatting>
  <conditionalFormatting sqref="A14:XFD14">
    <cfRule type="colorScale" priority="8">
      <colorScale>
        <cfvo type="min"/>
        <cfvo type="max"/>
        <color rgb="FFF6BED7"/>
        <color rgb="FFE12C2B"/>
      </colorScale>
    </cfRule>
  </conditionalFormatting>
  <conditionalFormatting sqref="A15:XFD15">
    <cfRule type="colorScale" priority="6">
      <colorScale>
        <cfvo type="min"/>
        <cfvo type="max"/>
        <color rgb="FFF6BED7"/>
        <color rgb="FFE12C2B"/>
      </colorScale>
    </cfRule>
  </conditionalFormatting>
  <conditionalFormatting sqref="A16:XFD16">
    <cfRule type="colorScale" priority="5">
      <colorScale>
        <cfvo type="min"/>
        <cfvo type="max"/>
        <color rgb="FFF6BED7"/>
        <color rgb="FFE12C2B"/>
      </colorScale>
    </cfRule>
  </conditionalFormatting>
  <conditionalFormatting sqref="A17:XFD17">
    <cfRule type="colorScale" priority="4">
      <colorScale>
        <cfvo type="min"/>
        <cfvo type="max"/>
        <color rgb="FFF6BED7"/>
        <color rgb="FFE12C2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17"/>
  <sheetViews>
    <sheetView workbookViewId="0">
      <selection activeCell="B3" sqref="B3:CM3"/>
    </sheetView>
  </sheetViews>
  <sheetFormatPr defaultColWidth="11" defaultRowHeight="15.75" x14ac:dyDescent="0.25"/>
  <sheetData>
    <row r="1" spans="1:91" x14ac:dyDescent="0.25">
      <c r="A1" s="1" t="s">
        <v>0</v>
      </c>
      <c r="B1" s="4">
        <v>30</v>
      </c>
      <c r="C1" s="4">
        <v>31</v>
      </c>
      <c r="D1" s="4">
        <v>32</v>
      </c>
      <c r="E1" s="4">
        <v>33</v>
      </c>
      <c r="F1" s="4">
        <v>34</v>
      </c>
      <c r="G1" s="4">
        <v>35</v>
      </c>
      <c r="H1" s="4">
        <v>36</v>
      </c>
      <c r="I1" s="4">
        <v>37</v>
      </c>
      <c r="J1" s="4">
        <v>38</v>
      </c>
      <c r="K1" s="4">
        <v>39</v>
      </c>
      <c r="L1" s="4">
        <v>40</v>
      </c>
      <c r="M1" s="4">
        <v>1</v>
      </c>
      <c r="N1" s="4">
        <v>2</v>
      </c>
      <c r="O1" s="4">
        <v>3</v>
      </c>
      <c r="P1" s="4">
        <v>4</v>
      </c>
      <c r="Q1" s="4">
        <v>5</v>
      </c>
      <c r="R1" s="4">
        <v>6</v>
      </c>
      <c r="S1" s="4">
        <v>7</v>
      </c>
      <c r="T1" s="4">
        <v>8</v>
      </c>
      <c r="U1" s="4">
        <v>9</v>
      </c>
      <c r="V1" s="4">
        <v>10</v>
      </c>
      <c r="W1" s="4">
        <v>11</v>
      </c>
      <c r="X1" s="4">
        <v>12</v>
      </c>
      <c r="Y1" s="4">
        <v>13</v>
      </c>
      <c r="Z1" s="4">
        <v>14</v>
      </c>
      <c r="AA1" s="4">
        <v>15</v>
      </c>
      <c r="AB1" s="4">
        <v>16</v>
      </c>
      <c r="AC1" s="4">
        <v>17</v>
      </c>
      <c r="AD1" s="4">
        <v>18</v>
      </c>
      <c r="AE1" s="4">
        <v>19</v>
      </c>
      <c r="AF1" s="4">
        <v>20</v>
      </c>
      <c r="AG1" s="4">
        <v>21</v>
      </c>
      <c r="AH1" s="4">
        <v>22</v>
      </c>
      <c r="AI1" s="4">
        <v>23</v>
      </c>
      <c r="AJ1" s="4">
        <v>24</v>
      </c>
      <c r="AK1" s="4">
        <v>25</v>
      </c>
      <c r="AL1" s="4">
        <v>26</v>
      </c>
      <c r="AM1" s="4">
        <v>27</v>
      </c>
      <c r="AN1" s="4">
        <v>28</v>
      </c>
      <c r="AO1" s="4">
        <v>29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  <c r="BB1" s="4">
        <v>89</v>
      </c>
      <c r="BC1" s="4">
        <v>90</v>
      </c>
      <c r="BD1" s="4">
        <v>91</v>
      </c>
      <c r="BE1" s="4">
        <v>92</v>
      </c>
      <c r="BF1" s="4">
        <v>93</v>
      </c>
      <c r="BG1" s="4">
        <v>94</v>
      </c>
      <c r="BH1" s="4">
        <v>95</v>
      </c>
      <c r="BI1" s="4">
        <v>96</v>
      </c>
      <c r="BJ1" s="4">
        <v>97</v>
      </c>
      <c r="BK1" s="4">
        <v>98</v>
      </c>
      <c r="BL1" s="4">
        <v>72</v>
      </c>
      <c r="BM1" s="4">
        <v>73</v>
      </c>
      <c r="BN1" s="4">
        <v>74</v>
      </c>
      <c r="BO1" s="4">
        <v>75</v>
      </c>
      <c r="BP1" s="4">
        <v>76</v>
      </c>
      <c r="BQ1" s="4">
        <v>77</v>
      </c>
      <c r="BR1" s="4">
        <v>78</v>
      </c>
      <c r="BS1" s="4">
        <v>79</v>
      </c>
      <c r="BT1" s="4">
        <v>80</v>
      </c>
      <c r="BU1" s="4">
        <v>53</v>
      </c>
      <c r="BV1" s="4">
        <v>54</v>
      </c>
      <c r="BW1" s="4">
        <v>55</v>
      </c>
      <c r="BX1" s="4">
        <v>56</v>
      </c>
      <c r="BY1" s="4">
        <v>57</v>
      </c>
      <c r="BZ1" s="4">
        <v>58</v>
      </c>
      <c r="CA1" s="4">
        <v>59</v>
      </c>
      <c r="CB1" s="4">
        <v>60</v>
      </c>
      <c r="CC1" s="4">
        <v>61</v>
      </c>
      <c r="CD1" s="4">
        <v>62</v>
      </c>
      <c r="CE1" s="4">
        <v>63</v>
      </c>
      <c r="CF1" s="4">
        <v>64</v>
      </c>
      <c r="CG1" s="4">
        <v>65</v>
      </c>
      <c r="CH1" s="4">
        <v>66</v>
      </c>
      <c r="CI1" s="4">
        <v>67</v>
      </c>
      <c r="CJ1" s="4">
        <v>68</v>
      </c>
      <c r="CK1" s="4">
        <v>69</v>
      </c>
      <c r="CL1" s="4">
        <v>70</v>
      </c>
      <c r="CM1" s="4">
        <v>71</v>
      </c>
    </row>
    <row r="2" spans="1:91" x14ac:dyDescent="0.25">
      <c r="A2" s="1" t="s">
        <v>1</v>
      </c>
      <c r="B2" s="4" t="s">
        <v>139</v>
      </c>
      <c r="C2" s="4" t="s">
        <v>139</v>
      </c>
      <c r="D2" s="4" t="s">
        <v>139</v>
      </c>
      <c r="E2" s="4" t="s">
        <v>139</v>
      </c>
      <c r="F2" s="4" t="s">
        <v>139</v>
      </c>
      <c r="G2" s="4" t="s">
        <v>139</v>
      </c>
      <c r="H2" s="4" t="s">
        <v>139</v>
      </c>
      <c r="I2" s="4" t="s">
        <v>139</v>
      </c>
      <c r="J2" s="4" t="s">
        <v>139</v>
      </c>
      <c r="K2" s="4" t="s">
        <v>139</v>
      </c>
      <c r="L2" s="4" t="s">
        <v>139</v>
      </c>
      <c r="M2" s="4" t="s">
        <v>77</v>
      </c>
      <c r="N2" s="4" t="s">
        <v>77</v>
      </c>
      <c r="O2" s="4" t="s">
        <v>77</v>
      </c>
      <c r="P2" s="4" t="s">
        <v>77</v>
      </c>
      <c r="Q2" s="4" t="s">
        <v>77</v>
      </c>
      <c r="R2" s="4" t="s">
        <v>77</v>
      </c>
      <c r="S2" s="4" t="s">
        <v>77</v>
      </c>
      <c r="T2" s="4" t="s">
        <v>77</v>
      </c>
      <c r="U2" s="4" t="s">
        <v>77</v>
      </c>
      <c r="V2" s="4" t="s">
        <v>98</v>
      </c>
      <c r="W2" s="4" t="s">
        <v>98</v>
      </c>
      <c r="X2" s="4" t="s">
        <v>98</v>
      </c>
      <c r="Y2" s="4" t="s">
        <v>98</v>
      </c>
      <c r="Z2" s="4" t="s">
        <v>98</v>
      </c>
      <c r="AA2" s="4" t="s">
        <v>98</v>
      </c>
      <c r="AB2" s="4" t="s">
        <v>98</v>
      </c>
      <c r="AC2" s="4" t="s">
        <v>98</v>
      </c>
      <c r="AD2" s="4" t="s">
        <v>98</v>
      </c>
      <c r="AE2" s="4" t="s">
        <v>118</v>
      </c>
      <c r="AF2" s="4" t="s">
        <v>118</v>
      </c>
      <c r="AG2" s="4" t="s">
        <v>118</v>
      </c>
      <c r="AH2" s="4" t="s">
        <v>118</v>
      </c>
      <c r="AI2" s="4" t="s">
        <v>118</v>
      </c>
      <c r="AJ2" s="4" t="s">
        <v>118</v>
      </c>
      <c r="AK2" s="4" t="s">
        <v>118</v>
      </c>
      <c r="AL2" s="4" t="s">
        <v>118</v>
      </c>
      <c r="AM2" s="4" t="s">
        <v>118</v>
      </c>
      <c r="AN2" s="4" t="s">
        <v>118</v>
      </c>
      <c r="AO2" s="4" t="s">
        <v>118</v>
      </c>
      <c r="AP2" s="4" t="s">
        <v>168</v>
      </c>
      <c r="AQ2" s="4" t="s">
        <v>168</v>
      </c>
      <c r="AR2" s="4" t="s">
        <v>168</v>
      </c>
      <c r="AS2" s="4" t="s">
        <v>168</v>
      </c>
      <c r="AT2" s="4" t="s">
        <v>168</v>
      </c>
      <c r="AU2" s="4" t="s">
        <v>168</v>
      </c>
      <c r="AV2" s="4" t="s">
        <v>168</v>
      </c>
      <c r="AW2" s="4" t="s">
        <v>168</v>
      </c>
      <c r="AX2" s="4" t="s">
        <v>168</v>
      </c>
      <c r="AY2" s="4" t="s">
        <v>168</v>
      </c>
      <c r="AZ2" s="4" t="s">
        <v>168</v>
      </c>
      <c r="BA2" s="4" t="s">
        <v>168</v>
      </c>
      <c r="BB2" s="4" t="s">
        <v>216</v>
      </c>
      <c r="BC2" s="4" t="s">
        <v>216</v>
      </c>
      <c r="BD2" s="4" t="s">
        <v>216</v>
      </c>
      <c r="BE2" s="4" t="s">
        <v>216</v>
      </c>
      <c r="BF2" s="4" t="s">
        <v>216</v>
      </c>
      <c r="BG2" s="4" t="s">
        <v>216</v>
      </c>
      <c r="BH2" s="4" t="s">
        <v>216</v>
      </c>
      <c r="BI2" s="4" t="s">
        <v>216</v>
      </c>
      <c r="BJ2" s="4" t="s">
        <v>216</v>
      </c>
      <c r="BK2" s="4" t="s">
        <v>216</v>
      </c>
      <c r="BL2" s="4" t="s">
        <v>205</v>
      </c>
      <c r="BM2" s="4" t="s">
        <v>205</v>
      </c>
      <c r="BN2" s="4" t="s">
        <v>205</v>
      </c>
      <c r="BO2" s="4" t="s">
        <v>205</v>
      </c>
      <c r="BP2" s="4" t="s">
        <v>205</v>
      </c>
      <c r="BQ2" s="4" t="s">
        <v>205</v>
      </c>
      <c r="BR2" s="4" t="s">
        <v>205</v>
      </c>
      <c r="BS2" s="4" t="s">
        <v>205</v>
      </c>
      <c r="BT2" s="4" t="s">
        <v>205</v>
      </c>
      <c r="BU2" s="4" t="s">
        <v>182</v>
      </c>
      <c r="BV2" s="4" t="s">
        <v>182</v>
      </c>
      <c r="BW2" s="4" t="s">
        <v>182</v>
      </c>
      <c r="BX2" s="4" t="s">
        <v>182</v>
      </c>
      <c r="BY2" s="4" t="s">
        <v>182</v>
      </c>
      <c r="BZ2" s="4" t="s">
        <v>182</v>
      </c>
      <c r="CA2" s="4" t="s">
        <v>182</v>
      </c>
      <c r="CB2" s="4" t="s">
        <v>182</v>
      </c>
      <c r="CC2" s="4" t="s">
        <v>182</v>
      </c>
      <c r="CD2" s="4" t="s">
        <v>182</v>
      </c>
      <c r="CE2" s="4" t="s">
        <v>194</v>
      </c>
      <c r="CF2" s="4" t="s">
        <v>194</v>
      </c>
      <c r="CG2" s="4" t="s">
        <v>194</v>
      </c>
      <c r="CH2" s="4" t="s">
        <v>194</v>
      </c>
      <c r="CI2" s="4" t="s">
        <v>194</v>
      </c>
      <c r="CJ2" s="4" t="s">
        <v>194</v>
      </c>
      <c r="CK2" s="4" t="s">
        <v>194</v>
      </c>
      <c r="CL2" s="4" t="s">
        <v>194</v>
      </c>
      <c r="CM2" s="4" t="s">
        <v>194</v>
      </c>
    </row>
    <row r="3" spans="1:91" x14ac:dyDescent="0.25">
      <c r="A3" s="1" t="s">
        <v>2</v>
      </c>
      <c r="B3" s="4" t="s">
        <v>140</v>
      </c>
      <c r="C3" s="4" t="s">
        <v>145</v>
      </c>
      <c r="D3" s="4" t="s">
        <v>148</v>
      </c>
      <c r="E3" s="4" t="s">
        <v>151</v>
      </c>
      <c r="F3" s="4" t="s">
        <v>154</v>
      </c>
      <c r="G3" s="4" t="s">
        <v>156</v>
      </c>
      <c r="H3" s="4" t="s">
        <v>159</v>
      </c>
      <c r="I3" s="4" t="s">
        <v>161</v>
      </c>
      <c r="J3" s="4" t="s">
        <v>163</v>
      </c>
      <c r="K3" s="4" t="s">
        <v>164</v>
      </c>
      <c r="L3" s="4" t="s">
        <v>167</v>
      </c>
      <c r="M3" s="4" t="s">
        <v>78</v>
      </c>
      <c r="N3" s="4" t="s">
        <v>84</v>
      </c>
      <c r="O3" s="4" t="s">
        <v>86</v>
      </c>
      <c r="P3" s="4" t="s">
        <v>87</v>
      </c>
      <c r="Q3" s="4" t="s">
        <v>89</v>
      </c>
      <c r="R3" s="4" t="s">
        <v>91</v>
      </c>
      <c r="S3" s="4" t="s">
        <v>93</v>
      </c>
      <c r="T3" s="4" t="s">
        <v>95</v>
      </c>
      <c r="U3" s="4" t="s">
        <v>97</v>
      </c>
      <c r="V3" s="4" t="s">
        <v>99</v>
      </c>
      <c r="W3" s="4" t="s">
        <v>102</v>
      </c>
      <c r="X3" s="4" t="s">
        <v>104</v>
      </c>
      <c r="Y3" s="4" t="s">
        <v>106</v>
      </c>
      <c r="Z3" s="4" t="s">
        <v>108</v>
      </c>
      <c r="AA3" s="4" t="s">
        <v>109</v>
      </c>
      <c r="AB3" s="4" t="s">
        <v>112</v>
      </c>
      <c r="AC3" s="4" t="s">
        <v>115</v>
      </c>
      <c r="AD3" s="4" t="s">
        <v>117</v>
      </c>
      <c r="AE3" s="4" t="s">
        <v>119</v>
      </c>
      <c r="AF3" s="4" t="s">
        <v>121</v>
      </c>
      <c r="AG3" s="4" t="s">
        <v>122</v>
      </c>
      <c r="AH3" s="4" t="s">
        <v>123</v>
      </c>
      <c r="AI3" s="4" t="s">
        <v>125</v>
      </c>
      <c r="AJ3" s="4" t="s">
        <v>127</v>
      </c>
      <c r="AK3" s="4" t="s">
        <v>129</v>
      </c>
      <c r="AL3" s="4" t="s">
        <v>131</v>
      </c>
      <c r="AM3" s="4" t="s">
        <v>133</v>
      </c>
      <c r="AN3" s="4" t="s">
        <v>135</v>
      </c>
      <c r="AO3" s="4" t="s">
        <v>137</v>
      </c>
      <c r="AP3" s="4" t="s">
        <v>169</v>
      </c>
      <c r="AQ3" s="4" t="s">
        <v>171</v>
      </c>
      <c r="AR3" s="4" t="s">
        <v>172</v>
      </c>
      <c r="AS3" s="4" t="s">
        <v>173</v>
      </c>
      <c r="AT3" s="4" t="s">
        <v>174</v>
      </c>
      <c r="AU3" s="4" t="s">
        <v>175</v>
      </c>
      <c r="AV3" s="4" t="s">
        <v>176</v>
      </c>
      <c r="AW3" s="4" t="s">
        <v>177</v>
      </c>
      <c r="AX3" s="4" t="s">
        <v>178</v>
      </c>
      <c r="AY3" s="4" t="s">
        <v>179</v>
      </c>
      <c r="AZ3" s="4" t="s">
        <v>180</v>
      </c>
      <c r="BA3" s="4" t="s">
        <v>181</v>
      </c>
      <c r="BB3" s="4" t="s">
        <v>217</v>
      </c>
      <c r="BC3" s="4" t="s">
        <v>220</v>
      </c>
      <c r="BD3" s="4" t="s">
        <v>221</v>
      </c>
      <c r="BE3" s="4" t="s">
        <v>223</v>
      </c>
      <c r="BF3" s="4" t="s">
        <v>224</v>
      </c>
      <c r="BG3" s="4" t="s">
        <v>226</v>
      </c>
      <c r="BH3" s="4" t="s">
        <v>228</v>
      </c>
      <c r="BI3" s="4" t="s">
        <v>230</v>
      </c>
      <c r="BJ3" s="4" t="s">
        <v>232</v>
      </c>
      <c r="BK3" s="4" t="s">
        <v>234</v>
      </c>
      <c r="BL3" s="4" t="s">
        <v>206</v>
      </c>
      <c r="BM3" s="4" t="s">
        <v>208</v>
      </c>
      <c r="BN3" s="4" t="s">
        <v>209</v>
      </c>
      <c r="BO3" s="4" t="s">
        <v>210</v>
      </c>
      <c r="BP3" s="4" t="s">
        <v>211</v>
      </c>
      <c r="BQ3" s="4" t="s">
        <v>212</v>
      </c>
      <c r="BR3" s="4" t="s">
        <v>213</v>
      </c>
      <c r="BS3" s="4" t="s">
        <v>214</v>
      </c>
      <c r="BT3" s="4" t="s">
        <v>215</v>
      </c>
      <c r="BU3" s="4" t="s">
        <v>183</v>
      </c>
      <c r="BV3" s="4" t="s">
        <v>185</v>
      </c>
      <c r="BW3" s="4" t="s">
        <v>186</v>
      </c>
      <c r="BX3" s="4" t="s">
        <v>187</v>
      </c>
      <c r="BY3" s="4" t="s">
        <v>188</v>
      </c>
      <c r="BZ3" s="4" t="s">
        <v>189</v>
      </c>
      <c r="CA3" s="4" t="s">
        <v>190</v>
      </c>
      <c r="CB3" s="4" t="s">
        <v>191</v>
      </c>
      <c r="CC3" s="4" t="s">
        <v>192</v>
      </c>
      <c r="CD3" s="4" t="s">
        <v>193</v>
      </c>
      <c r="CE3" s="4" t="s">
        <v>195</v>
      </c>
      <c r="CF3" s="4" t="s">
        <v>197</v>
      </c>
      <c r="CG3" s="4" t="s">
        <v>198</v>
      </c>
      <c r="CH3" s="4" t="s">
        <v>199</v>
      </c>
      <c r="CI3" s="4" t="s">
        <v>200</v>
      </c>
      <c r="CJ3" s="4" t="s">
        <v>201</v>
      </c>
      <c r="CK3" s="4" t="s">
        <v>202</v>
      </c>
      <c r="CL3" s="4" t="s">
        <v>203</v>
      </c>
      <c r="CM3" s="4" t="s">
        <v>204</v>
      </c>
    </row>
    <row r="4" spans="1:91" x14ac:dyDescent="0.25">
      <c r="A4" s="1" t="s">
        <v>736</v>
      </c>
      <c r="B4" s="4" t="s">
        <v>726</v>
      </c>
      <c r="C4" s="4" t="s">
        <v>726</v>
      </c>
      <c r="D4" s="4" t="s">
        <v>726</v>
      </c>
      <c r="E4" s="4" t="s">
        <v>726</v>
      </c>
      <c r="F4" s="4" t="s">
        <v>726</v>
      </c>
      <c r="G4" s="4" t="s">
        <v>726</v>
      </c>
      <c r="H4" s="4" t="s">
        <v>726</v>
      </c>
      <c r="I4" s="4" t="s">
        <v>726</v>
      </c>
      <c r="J4" s="4" t="s">
        <v>726</v>
      </c>
      <c r="K4" s="4" t="s">
        <v>726</v>
      </c>
      <c r="L4" s="4" t="s">
        <v>726</v>
      </c>
      <c r="M4" s="4" t="s">
        <v>737</v>
      </c>
      <c r="N4" s="4" t="s">
        <v>737</v>
      </c>
      <c r="O4" s="4" t="s">
        <v>737</v>
      </c>
      <c r="P4" s="4" t="s">
        <v>737</v>
      </c>
      <c r="Q4" s="4" t="s">
        <v>737</v>
      </c>
      <c r="R4" s="4" t="s">
        <v>737</v>
      </c>
      <c r="S4" s="4" t="s">
        <v>737</v>
      </c>
      <c r="T4" s="4" t="s">
        <v>737</v>
      </c>
      <c r="U4" s="4" t="s">
        <v>737</v>
      </c>
      <c r="V4" s="4" t="s">
        <v>737</v>
      </c>
      <c r="W4" s="4" t="s">
        <v>737</v>
      </c>
      <c r="X4" s="4" t="s">
        <v>737</v>
      </c>
      <c r="Y4" s="4" t="s">
        <v>737</v>
      </c>
      <c r="Z4" s="4" t="s">
        <v>737</v>
      </c>
      <c r="AA4" s="4" t="s">
        <v>737</v>
      </c>
      <c r="AB4" s="4" t="s">
        <v>737</v>
      </c>
      <c r="AC4" s="4" t="s">
        <v>737</v>
      </c>
      <c r="AD4" s="4" t="s">
        <v>737</v>
      </c>
      <c r="AE4" s="4" t="s">
        <v>738</v>
      </c>
      <c r="AF4" s="4" t="s">
        <v>738</v>
      </c>
      <c r="AG4" s="4" t="s">
        <v>738</v>
      </c>
      <c r="AH4" s="4" t="s">
        <v>738</v>
      </c>
      <c r="AI4" s="4" t="s">
        <v>738</v>
      </c>
      <c r="AJ4" s="4" t="s">
        <v>738</v>
      </c>
      <c r="AK4" s="4" t="s">
        <v>738</v>
      </c>
      <c r="AL4" s="4" t="s">
        <v>738</v>
      </c>
      <c r="AM4" s="4" t="s">
        <v>738</v>
      </c>
      <c r="AN4" s="4" t="s">
        <v>738</v>
      </c>
      <c r="AO4" s="4" t="s">
        <v>738</v>
      </c>
      <c r="AP4" s="4" t="s">
        <v>727</v>
      </c>
      <c r="AQ4" s="4" t="s">
        <v>727</v>
      </c>
      <c r="AR4" s="4" t="s">
        <v>727</v>
      </c>
      <c r="AS4" s="4" t="s">
        <v>727</v>
      </c>
      <c r="AT4" s="4" t="s">
        <v>727</v>
      </c>
      <c r="AU4" s="4" t="s">
        <v>727</v>
      </c>
      <c r="AV4" s="4" t="s">
        <v>727</v>
      </c>
      <c r="AW4" s="4" t="s">
        <v>727</v>
      </c>
      <c r="AX4" s="4" t="s">
        <v>727</v>
      </c>
      <c r="AY4" s="4" t="s">
        <v>727</v>
      </c>
      <c r="AZ4" s="4" t="s">
        <v>727</v>
      </c>
      <c r="BA4" s="4" t="s">
        <v>727</v>
      </c>
      <c r="BB4" s="4" t="s">
        <v>729</v>
      </c>
      <c r="BC4" s="4" t="s">
        <v>729</v>
      </c>
      <c r="BD4" s="4" t="s">
        <v>729</v>
      </c>
      <c r="BE4" s="4" t="s">
        <v>729</v>
      </c>
      <c r="BF4" s="4" t="s">
        <v>729</v>
      </c>
      <c r="BG4" s="4" t="s">
        <v>729</v>
      </c>
      <c r="BH4" s="4" t="s">
        <v>729</v>
      </c>
      <c r="BI4" s="4" t="s">
        <v>729</v>
      </c>
      <c r="BJ4" s="4" t="s">
        <v>729</v>
      </c>
      <c r="BK4" s="4" t="s">
        <v>729</v>
      </c>
      <c r="BL4" s="4" t="s">
        <v>728</v>
      </c>
      <c r="BM4" s="4" t="s">
        <v>728</v>
      </c>
      <c r="BN4" s="4" t="s">
        <v>728</v>
      </c>
      <c r="BO4" s="4" t="s">
        <v>728</v>
      </c>
      <c r="BP4" s="4" t="s">
        <v>728</v>
      </c>
      <c r="BQ4" s="4" t="s">
        <v>728</v>
      </c>
      <c r="BR4" s="4" t="s">
        <v>728</v>
      </c>
      <c r="BS4" s="4" t="s">
        <v>728</v>
      </c>
      <c r="BT4" s="4" t="s">
        <v>728</v>
      </c>
      <c r="BU4" s="4" t="s">
        <v>184</v>
      </c>
      <c r="BV4" s="4" t="s">
        <v>184</v>
      </c>
      <c r="BW4" s="4" t="s">
        <v>184</v>
      </c>
      <c r="BX4" s="4" t="s">
        <v>184</v>
      </c>
      <c r="BY4" s="4" t="s">
        <v>184</v>
      </c>
      <c r="BZ4" s="4" t="s">
        <v>184</v>
      </c>
      <c r="CA4" s="4" t="s">
        <v>184</v>
      </c>
      <c r="CB4" s="4" t="s">
        <v>184</v>
      </c>
      <c r="CC4" s="4" t="s">
        <v>184</v>
      </c>
      <c r="CD4" s="4" t="s">
        <v>184</v>
      </c>
      <c r="CE4" s="4" t="s">
        <v>196</v>
      </c>
      <c r="CF4" s="4" t="s">
        <v>196</v>
      </c>
      <c r="CG4" s="4" t="s">
        <v>196</v>
      </c>
      <c r="CH4" s="4" t="s">
        <v>196</v>
      </c>
      <c r="CI4" s="4" t="s">
        <v>196</v>
      </c>
      <c r="CJ4" s="4" t="s">
        <v>196</v>
      </c>
      <c r="CK4" s="4" t="s">
        <v>196</v>
      </c>
      <c r="CL4" s="4" t="s">
        <v>196</v>
      </c>
      <c r="CM4" s="4" t="s">
        <v>196</v>
      </c>
    </row>
    <row r="5" spans="1:91" x14ac:dyDescent="0.25">
      <c r="A5" s="2" t="s">
        <v>733</v>
      </c>
      <c r="B5" s="5" t="s">
        <v>726</v>
      </c>
      <c r="C5" s="5" t="s">
        <v>726</v>
      </c>
      <c r="D5" s="5" t="s">
        <v>726</v>
      </c>
      <c r="E5" s="5" t="s">
        <v>726</v>
      </c>
      <c r="F5" s="5" t="s">
        <v>726</v>
      </c>
      <c r="G5" s="5" t="s">
        <v>726</v>
      </c>
      <c r="H5" s="5" t="s">
        <v>726</v>
      </c>
      <c r="I5" s="5" t="s">
        <v>726</v>
      </c>
      <c r="J5" s="5" t="s">
        <v>726</v>
      </c>
      <c r="K5" s="5" t="s">
        <v>726</v>
      </c>
      <c r="L5" s="5" t="s">
        <v>726</v>
      </c>
      <c r="M5" s="5" t="s">
        <v>724</v>
      </c>
      <c r="N5" s="5" t="s">
        <v>724</v>
      </c>
      <c r="O5" s="5" t="s">
        <v>724</v>
      </c>
      <c r="P5" s="5" t="s">
        <v>725</v>
      </c>
      <c r="Q5" s="5" t="s">
        <v>724</v>
      </c>
      <c r="R5" s="5" t="s">
        <v>724</v>
      </c>
      <c r="S5" s="5" t="s">
        <v>724</v>
      </c>
      <c r="T5" s="5" t="s">
        <v>724</v>
      </c>
      <c r="U5" s="5" t="s">
        <v>724</v>
      </c>
      <c r="V5" s="5" t="s">
        <v>725</v>
      </c>
      <c r="W5" s="5" t="s">
        <v>725</v>
      </c>
      <c r="X5" s="5" t="s">
        <v>725</v>
      </c>
      <c r="Y5" s="5" t="s">
        <v>725</v>
      </c>
      <c r="Z5" s="5" t="s">
        <v>725</v>
      </c>
      <c r="AA5" s="5" t="s">
        <v>725</v>
      </c>
      <c r="AB5" s="5" t="s">
        <v>725</v>
      </c>
      <c r="AC5" s="5" t="s">
        <v>725</v>
      </c>
      <c r="AD5" s="5" t="s">
        <v>725</v>
      </c>
      <c r="AE5" s="5" t="s">
        <v>732</v>
      </c>
      <c r="AF5" s="5" t="s">
        <v>732</v>
      </c>
      <c r="AG5" s="5" t="s">
        <v>732</v>
      </c>
      <c r="AH5" s="5" t="s">
        <v>732</v>
      </c>
      <c r="AI5" s="5" t="s">
        <v>732</v>
      </c>
      <c r="AJ5" s="5" t="s">
        <v>732</v>
      </c>
      <c r="AK5" s="5" t="s">
        <v>732</v>
      </c>
      <c r="AL5" s="5" t="s">
        <v>732</v>
      </c>
      <c r="AM5" s="5" t="s">
        <v>732</v>
      </c>
      <c r="AN5" s="5" t="s">
        <v>732</v>
      </c>
      <c r="AO5" s="5" t="s">
        <v>732</v>
      </c>
      <c r="AP5" s="5" t="s">
        <v>727</v>
      </c>
      <c r="AQ5" s="5" t="s">
        <v>727</v>
      </c>
      <c r="AR5" s="5" t="s">
        <v>727</v>
      </c>
      <c r="AS5" s="5" t="s">
        <v>727</v>
      </c>
      <c r="AT5" s="5" t="s">
        <v>727</v>
      </c>
      <c r="AU5" s="5" t="s">
        <v>727</v>
      </c>
      <c r="AV5" s="5" t="s">
        <v>727</v>
      </c>
      <c r="AW5" s="5" t="s">
        <v>727</v>
      </c>
      <c r="AX5" s="5" t="s">
        <v>727</v>
      </c>
      <c r="AY5" s="5" t="s">
        <v>727</v>
      </c>
      <c r="AZ5" s="5" t="s">
        <v>727</v>
      </c>
      <c r="BA5" s="5" t="s">
        <v>727</v>
      </c>
      <c r="BB5" s="5" t="s">
        <v>729</v>
      </c>
      <c r="BC5" s="5" t="s">
        <v>729</v>
      </c>
      <c r="BD5" s="5" t="s">
        <v>729</v>
      </c>
      <c r="BE5" s="5" t="s">
        <v>729</v>
      </c>
      <c r="BF5" s="5" t="s">
        <v>729</v>
      </c>
      <c r="BG5" s="5" t="s">
        <v>729</v>
      </c>
      <c r="BH5" s="5" t="s">
        <v>729</v>
      </c>
      <c r="BI5" s="5" t="s">
        <v>729</v>
      </c>
      <c r="BJ5" s="5" t="s">
        <v>729</v>
      </c>
      <c r="BK5" s="5" t="s">
        <v>729</v>
      </c>
      <c r="BL5" s="5" t="s">
        <v>728</v>
      </c>
      <c r="BM5" s="5" t="s">
        <v>728</v>
      </c>
      <c r="BN5" s="5" t="s">
        <v>728</v>
      </c>
      <c r="BO5" s="5" t="s">
        <v>728</v>
      </c>
      <c r="BP5" s="5" t="s">
        <v>728</v>
      </c>
      <c r="BQ5" s="5" t="s">
        <v>728</v>
      </c>
      <c r="BR5" s="5" t="s">
        <v>728</v>
      </c>
      <c r="BS5" s="5" t="s">
        <v>728</v>
      </c>
      <c r="BT5" s="5" t="s">
        <v>728</v>
      </c>
      <c r="BU5" s="5" t="s">
        <v>184</v>
      </c>
      <c r="BV5" s="5" t="s">
        <v>184</v>
      </c>
      <c r="BW5" s="5" t="s">
        <v>184</v>
      </c>
      <c r="BX5" s="5" t="s">
        <v>184</v>
      </c>
      <c r="BY5" s="5" t="s">
        <v>184</v>
      </c>
      <c r="BZ5" s="5" t="s">
        <v>184</v>
      </c>
      <c r="CA5" s="5" t="s">
        <v>184</v>
      </c>
      <c r="CB5" s="5" t="s">
        <v>184</v>
      </c>
      <c r="CC5" s="5" t="s">
        <v>184</v>
      </c>
      <c r="CD5" s="5" t="s">
        <v>184</v>
      </c>
      <c r="CE5" s="5" t="s">
        <v>196</v>
      </c>
      <c r="CF5" s="5" t="s">
        <v>196</v>
      </c>
      <c r="CG5" s="5" t="s">
        <v>196</v>
      </c>
      <c r="CH5" s="5" t="s">
        <v>196</v>
      </c>
      <c r="CI5" s="5" t="s">
        <v>196</v>
      </c>
      <c r="CJ5" s="5" t="s">
        <v>196</v>
      </c>
      <c r="CK5" s="5" t="s">
        <v>196</v>
      </c>
      <c r="CL5" s="5" t="s">
        <v>196</v>
      </c>
      <c r="CM5" s="6" t="s">
        <v>196</v>
      </c>
    </row>
    <row r="6" spans="1:91" x14ac:dyDescent="0.25">
      <c r="A6" s="2" t="s">
        <v>734</v>
      </c>
      <c r="B6" s="5" t="s">
        <v>726</v>
      </c>
      <c r="C6" s="5" t="s">
        <v>726</v>
      </c>
      <c r="D6" s="5" t="s">
        <v>726</v>
      </c>
      <c r="E6" s="5" t="s">
        <v>726</v>
      </c>
      <c r="F6" s="5" t="s">
        <v>726</v>
      </c>
      <c r="G6" s="5" t="s">
        <v>726</v>
      </c>
      <c r="H6" s="5" t="s">
        <v>726</v>
      </c>
      <c r="I6" s="5" t="s">
        <v>726</v>
      </c>
      <c r="J6" s="5" t="s">
        <v>726</v>
      </c>
      <c r="K6" s="5" t="s">
        <v>726</v>
      </c>
      <c r="L6" s="5" t="s">
        <v>726</v>
      </c>
      <c r="M6" s="5" t="s">
        <v>730</v>
      </c>
      <c r="N6" s="5" t="s">
        <v>730</v>
      </c>
      <c r="O6" s="5" t="s">
        <v>730</v>
      </c>
      <c r="P6" s="5" t="s">
        <v>730</v>
      </c>
      <c r="Q6" s="5" t="s">
        <v>730</v>
      </c>
      <c r="R6" s="5" t="s">
        <v>730</v>
      </c>
      <c r="S6" s="5" t="s">
        <v>730</v>
      </c>
      <c r="T6" s="5" t="s">
        <v>731</v>
      </c>
      <c r="U6" s="5" t="s">
        <v>730</v>
      </c>
      <c r="V6" s="5" t="s">
        <v>731</v>
      </c>
      <c r="W6" s="5" t="s">
        <v>731</v>
      </c>
      <c r="X6" s="5" t="s">
        <v>731</v>
      </c>
      <c r="Y6" s="5" t="s">
        <v>731</v>
      </c>
      <c r="Z6" s="5" t="s">
        <v>730</v>
      </c>
      <c r="AA6" s="5" t="s">
        <v>731</v>
      </c>
      <c r="AB6" s="5" t="s">
        <v>731</v>
      </c>
      <c r="AC6" s="5" t="s">
        <v>730</v>
      </c>
      <c r="AD6" s="5" t="s">
        <v>730</v>
      </c>
      <c r="AE6" s="5" t="s">
        <v>732</v>
      </c>
      <c r="AF6" s="5" t="s">
        <v>732</v>
      </c>
      <c r="AG6" s="5" t="s">
        <v>732</v>
      </c>
      <c r="AH6" s="5" t="s">
        <v>732</v>
      </c>
      <c r="AI6" s="5" t="s">
        <v>732</v>
      </c>
      <c r="AJ6" s="5" t="s">
        <v>732</v>
      </c>
      <c r="AK6" s="5" t="s">
        <v>732</v>
      </c>
      <c r="AL6" s="5" t="s">
        <v>732</v>
      </c>
      <c r="AM6" s="5" t="s">
        <v>732</v>
      </c>
      <c r="AN6" s="5" t="s">
        <v>732</v>
      </c>
      <c r="AO6" s="5" t="s">
        <v>732</v>
      </c>
      <c r="AP6" s="5" t="s">
        <v>727</v>
      </c>
      <c r="AQ6" s="5" t="s">
        <v>727</v>
      </c>
      <c r="AR6" s="5" t="s">
        <v>727</v>
      </c>
      <c r="AS6" s="5" t="s">
        <v>727</v>
      </c>
      <c r="AT6" s="5" t="s">
        <v>727</v>
      </c>
      <c r="AU6" s="5" t="s">
        <v>727</v>
      </c>
      <c r="AV6" s="5" t="s">
        <v>727</v>
      </c>
      <c r="AW6" s="5" t="s">
        <v>727</v>
      </c>
      <c r="AX6" s="5" t="s">
        <v>727</v>
      </c>
      <c r="AY6" s="5" t="s">
        <v>727</v>
      </c>
      <c r="AZ6" s="5" t="s">
        <v>727</v>
      </c>
      <c r="BA6" s="5" t="s">
        <v>727</v>
      </c>
      <c r="BB6" s="5" t="s">
        <v>729</v>
      </c>
      <c r="BC6" s="5" t="s">
        <v>729</v>
      </c>
      <c r="BD6" s="5" t="s">
        <v>729</v>
      </c>
      <c r="BE6" s="5" t="s">
        <v>729</v>
      </c>
      <c r="BF6" s="5" t="s">
        <v>729</v>
      </c>
      <c r="BG6" s="5" t="s">
        <v>729</v>
      </c>
      <c r="BH6" s="5" t="s">
        <v>729</v>
      </c>
      <c r="BI6" s="5" t="s">
        <v>729</v>
      </c>
      <c r="BJ6" s="5" t="s">
        <v>729</v>
      </c>
      <c r="BK6" s="5" t="s">
        <v>729</v>
      </c>
      <c r="BL6" s="5" t="s">
        <v>728</v>
      </c>
      <c r="BM6" s="5" t="s">
        <v>728</v>
      </c>
      <c r="BN6" s="5" t="s">
        <v>728</v>
      </c>
      <c r="BO6" s="5" t="s">
        <v>728</v>
      </c>
      <c r="BP6" s="5" t="s">
        <v>728</v>
      </c>
      <c r="BQ6" s="5" t="s">
        <v>728</v>
      </c>
      <c r="BR6" s="5" t="s">
        <v>728</v>
      </c>
      <c r="BS6" s="5" t="s">
        <v>728</v>
      </c>
      <c r="BT6" s="5" t="s">
        <v>728</v>
      </c>
      <c r="BU6" s="5" t="s">
        <v>184</v>
      </c>
      <c r="BV6" s="5" t="s">
        <v>184</v>
      </c>
      <c r="BW6" s="5" t="s">
        <v>184</v>
      </c>
      <c r="BX6" s="5" t="s">
        <v>184</v>
      </c>
      <c r="BY6" s="5" t="s">
        <v>184</v>
      </c>
      <c r="BZ6" s="5" t="s">
        <v>184</v>
      </c>
      <c r="CA6" s="5" t="s">
        <v>184</v>
      </c>
      <c r="CB6" s="5" t="s">
        <v>184</v>
      </c>
      <c r="CC6" s="5" t="s">
        <v>184</v>
      </c>
      <c r="CD6" s="5" t="s">
        <v>184</v>
      </c>
      <c r="CE6" s="5" t="s">
        <v>196</v>
      </c>
      <c r="CF6" s="5" t="s">
        <v>196</v>
      </c>
      <c r="CG6" s="5" t="s">
        <v>196</v>
      </c>
      <c r="CH6" s="5" t="s">
        <v>196</v>
      </c>
      <c r="CI6" s="5" t="s">
        <v>196</v>
      </c>
      <c r="CJ6" s="5" t="s">
        <v>196</v>
      </c>
      <c r="CK6" s="5" t="s">
        <v>196</v>
      </c>
      <c r="CL6" s="5" t="s">
        <v>196</v>
      </c>
      <c r="CM6" s="6" t="s">
        <v>196</v>
      </c>
    </row>
    <row r="7" spans="1:91" x14ac:dyDescent="0.25">
      <c r="A7" s="1" t="s">
        <v>735</v>
      </c>
      <c r="B7" s="4" t="s">
        <v>141</v>
      </c>
      <c r="C7" s="4" t="s">
        <v>141</v>
      </c>
      <c r="D7" s="4" t="s">
        <v>141</v>
      </c>
      <c r="E7" s="4" t="s">
        <v>141</v>
      </c>
      <c r="F7" s="4" t="s">
        <v>141</v>
      </c>
      <c r="G7" s="4" t="s">
        <v>141</v>
      </c>
      <c r="H7" s="4" t="s">
        <v>141</v>
      </c>
      <c r="I7" s="4" t="s">
        <v>141</v>
      </c>
      <c r="J7" s="4" t="s">
        <v>141</v>
      </c>
      <c r="K7" s="4" t="s">
        <v>141</v>
      </c>
      <c r="L7" s="4" t="s">
        <v>141</v>
      </c>
      <c r="M7" s="4" t="s">
        <v>79</v>
      </c>
      <c r="N7" s="4" t="s">
        <v>79</v>
      </c>
      <c r="O7" s="4" t="s">
        <v>79</v>
      </c>
      <c r="P7" s="4" t="s">
        <v>79</v>
      </c>
      <c r="Q7" s="4" t="s">
        <v>79</v>
      </c>
      <c r="R7" s="4" t="s">
        <v>79</v>
      </c>
      <c r="S7" s="4" t="s">
        <v>79</v>
      </c>
      <c r="T7" s="4" t="s">
        <v>79</v>
      </c>
      <c r="U7" s="4" t="s">
        <v>79</v>
      </c>
      <c r="V7" s="4" t="s">
        <v>100</v>
      </c>
      <c r="W7" s="4" t="s">
        <v>100</v>
      </c>
      <c r="X7" s="4" t="s">
        <v>100</v>
      </c>
      <c r="Y7" s="4" t="s">
        <v>100</v>
      </c>
      <c r="Z7" s="4" t="s">
        <v>100</v>
      </c>
      <c r="AA7" s="4" t="s">
        <v>100</v>
      </c>
      <c r="AB7" s="4" t="s">
        <v>100</v>
      </c>
      <c r="AC7" s="4" t="s">
        <v>100</v>
      </c>
      <c r="AD7" s="4" t="s">
        <v>100</v>
      </c>
      <c r="AE7" s="4" t="s">
        <v>120</v>
      </c>
      <c r="AF7" s="4" t="s">
        <v>120</v>
      </c>
      <c r="AG7" s="4" t="s">
        <v>120</v>
      </c>
      <c r="AH7" s="4" t="s">
        <v>120</v>
      </c>
      <c r="AI7" s="4" t="s">
        <v>120</v>
      </c>
      <c r="AJ7" s="4"/>
      <c r="AK7" s="4" t="s">
        <v>120</v>
      </c>
      <c r="AL7" s="4" t="s">
        <v>120</v>
      </c>
      <c r="AM7" s="4" t="s">
        <v>120</v>
      </c>
      <c r="AN7" s="4" t="s">
        <v>120</v>
      </c>
      <c r="AO7" s="4" t="s">
        <v>120</v>
      </c>
      <c r="AP7" s="4" t="s">
        <v>170</v>
      </c>
      <c r="AQ7" s="4" t="s">
        <v>170</v>
      </c>
      <c r="AR7" s="4" t="s">
        <v>170</v>
      </c>
      <c r="AS7" s="4" t="s">
        <v>170</v>
      </c>
      <c r="AT7" s="4" t="s">
        <v>170</v>
      </c>
      <c r="AU7" s="4" t="s">
        <v>170</v>
      </c>
      <c r="AV7" s="4" t="s">
        <v>170</v>
      </c>
      <c r="AW7" s="4" t="s">
        <v>170</v>
      </c>
      <c r="AX7" s="4" t="s">
        <v>170</v>
      </c>
      <c r="AY7" s="4" t="s">
        <v>170</v>
      </c>
      <c r="AZ7" s="4" t="s">
        <v>170</v>
      </c>
      <c r="BA7" s="4" t="s">
        <v>170</v>
      </c>
      <c r="BB7" s="4" t="s">
        <v>218</v>
      </c>
      <c r="BC7" s="4" t="s">
        <v>218</v>
      </c>
      <c r="BD7" s="4" t="s">
        <v>218</v>
      </c>
      <c r="BE7" s="4" t="s">
        <v>218</v>
      </c>
      <c r="BF7" s="4" t="s">
        <v>218</v>
      </c>
      <c r="BG7" s="4" t="s">
        <v>218</v>
      </c>
      <c r="BH7" s="4" t="s">
        <v>218</v>
      </c>
      <c r="BI7" s="4" t="s">
        <v>218</v>
      </c>
      <c r="BJ7" s="4" t="s">
        <v>218</v>
      </c>
      <c r="BK7" s="4" t="s">
        <v>218</v>
      </c>
      <c r="BL7" s="4" t="s">
        <v>207</v>
      </c>
      <c r="BM7" s="4" t="s">
        <v>207</v>
      </c>
      <c r="BN7" s="4" t="s">
        <v>207</v>
      </c>
      <c r="BO7" s="4" t="s">
        <v>207</v>
      </c>
      <c r="BP7" s="4" t="s">
        <v>207</v>
      </c>
      <c r="BQ7" s="4" t="s">
        <v>207</v>
      </c>
      <c r="BR7" s="4" t="s">
        <v>207</v>
      </c>
      <c r="BS7" s="4" t="s">
        <v>207</v>
      </c>
      <c r="BT7" s="4" t="s">
        <v>207</v>
      </c>
      <c r="BU7" s="4" t="s">
        <v>184</v>
      </c>
      <c r="BV7" s="4" t="s">
        <v>184</v>
      </c>
      <c r="BW7" s="4" t="s">
        <v>184</v>
      </c>
      <c r="BX7" s="4" t="s">
        <v>184</v>
      </c>
      <c r="BY7" s="4" t="s">
        <v>184</v>
      </c>
      <c r="BZ7" s="4" t="s">
        <v>184</v>
      </c>
      <c r="CA7" s="4" t="s">
        <v>184</v>
      </c>
      <c r="CB7" s="4" t="s">
        <v>184</v>
      </c>
      <c r="CC7" s="4" t="s">
        <v>184</v>
      </c>
      <c r="CD7" s="4" t="s">
        <v>184</v>
      </c>
      <c r="CE7" s="4" t="s">
        <v>196</v>
      </c>
      <c r="CF7" s="4" t="s">
        <v>196</v>
      </c>
      <c r="CG7" s="4" t="s">
        <v>196</v>
      </c>
      <c r="CH7" s="4" t="s">
        <v>196</v>
      </c>
      <c r="CI7" s="4" t="s">
        <v>196</v>
      </c>
      <c r="CJ7" s="4" t="s">
        <v>196</v>
      </c>
      <c r="CK7" s="4" t="s">
        <v>196</v>
      </c>
      <c r="CL7" s="4" t="s">
        <v>196</v>
      </c>
      <c r="CM7" s="4" t="s">
        <v>196</v>
      </c>
    </row>
    <row r="8" spans="1:91" x14ac:dyDescent="0.25">
      <c r="A8" s="1" t="s">
        <v>13</v>
      </c>
      <c r="B8" s="4">
        <v>132</v>
      </c>
      <c r="C8" s="4">
        <v>135</v>
      </c>
      <c r="D8" s="4">
        <v>76</v>
      </c>
      <c r="E8" s="4">
        <v>127</v>
      </c>
      <c r="F8" s="4">
        <v>104</v>
      </c>
      <c r="G8" s="4"/>
      <c r="H8" s="4">
        <v>125</v>
      </c>
      <c r="I8" s="4">
        <v>128</v>
      </c>
      <c r="J8" s="4">
        <v>104</v>
      </c>
      <c r="K8" s="4">
        <v>97</v>
      </c>
      <c r="L8" s="4">
        <v>111</v>
      </c>
      <c r="M8" s="4">
        <v>119</v>
      </c>
      <c r="N8" s="4">
        <v>128</v>
      </c>
      <c r="O8" s="4">
        <v>195</v>
      </c>
      <c r="P8" s="4">
        <v>136</v>
      </c>
      <c r="Q8" s="4">
        <v>226</v>
      </c>
      <c r="R8" s="4">
        <v>130</v>
      </c>
      <c r="S8" s="4">
        <v>175</v>
      </c>
      <c r="T8" s="4">
        <v>146</v>
      </c>
      <c r="U8" s="4">
        <v>66</v>
      </c>
      <c r="V8" s="4">
        <v>117</v>
      </c>
      <c r="W8" s="4">
        <v>100</v>
      </c>
      <c r="X8" s="4">
        <v>92</v>
      </c>
      <c r="Y8" s="4">
        <v>255</v>
      </c>
      <c r="Z8" s="4">
        <v>249</v>
      </c>
      <c r="AA8" s="4">
        <v>125</v>
      </c>
      <c r="AB8" s="4">
        <v>240</v>
      </c>
      <c r="AC8" s="4">
        <v>117</v>
      </c>
      <c r="AD8" s="4">
        <v>230</v>
      </c>
      <c r="AE8" s="4">
        <v>276</v>
      </c>
      <c r="AF8" s="4">
        <v>26</v>
      </c>
      <c r="AG8" s="4">
        <v>104</v>
      </c>
      <c r="AH8" s="4">
        <v>65</v>
      </c>
      <c r="AI8" s="4">
        <v>117</v>
      </c>
      <c r="AJ8" s="4">
        <v>48</v>
      </c>
      <c r="AK8" s="4">
        <v>35</v>
      </c>
      <c r="AL8" s="4">
        <v>112</v>
      </c>
      <c r="AM8" s="4">
        <v>54</v>
      </c>
      <c r="AN8" s="4">
        <v>373</v>
      </c>
      <c r="AO8" s="4">
        <v>325</v>
      </c>
      <c r="AP8" s="4">
        <v>102</v>
      </c>
      <c r="AQ8" s="4">
        <v>54</v>
      </c>
      <c r="AR8" s="4">
        <v>136</v>
      </c>
      <c r="AS8" s="4">
        <v>72</v>
      </c>
      <c r="AT8" s="4">
        <v>67</v>
      </c>
      <c r="AU8" s="4">
        <v>161</v>
      </c>
      <c r="AV8" s="4">
        <v>63</v>
      </c>
      <c r="AW8" s="4">
        <v>52</v>
      </c>
      <c r="AX8" s="4">
        <v>112</v>
      </c>
      <c r="AY8" s="4">
        <v>129</v>
      </c>
      <c r="AZ8" s="4">
        <v>160</v>
      </c>
      <c r="BA8" s="4">
        <v>204</v>
      </c>
      <c r="BB8" s="4">
        <v>15</v>
      </c>
      <c r="BC8" s="4">
        <v>20</v>
      </c>
      <c r="BD8" s="4">
        <v>21</v>
      </c>
      <c r="BE8" s="4">
        <v>25</v>
      </c>
      <c r="BF8" s="4">
        <v>19</v>
      </c>
      <c r="BG8" s="4">
        <v>28</v>
      </c>
      <c r="BH8" s="4">
        <v>28</v>
      </c>
      <c r="BI8" s="4">
        <v>22</v>
      </c>
      <c r="BJ8" s="4">
        <v>26</v>
      </c>
      <c r="BK8" s="4">
        <v>18</v>
      </c>
      <c r="BL8" s="4">
        <v>223</v>
      </c>
      <c r="BM8" s="4">
        <v>66</v>
      </c>
      <c r="BN8" s="4">
        <v>99</v>
      </c>
      <c r="BO8" s="4">
        <v>116</v>
      </c>
      <c r="BP8" s="4">
        <v>86</v>
      </c>
      <c r="BQ8" s="4">
        <v>63</v>
      </c>
      <c r="BR8" s="4">
        <v>95</v>
      </c>
      <c r="BS8" s="4">
        <v>63</v>
      </c>
      <c r="BT8" s="4">
        <v>53</v>
      </c>
      <c r="BU8" s="4">
        <v>55</v>
      </c>
      <c r="BV8" s="4">
        <v>55</v>
      </c>
      <c r="BW8" s="4">
        <v>89</v>
      </c>
      <c r="BX8" s="4">
        <v>123</v>
      </c>
      <c r="BY8" s="4">
        <v>42</v>
      </c>
      <c r="BZ8" s="4">
        <v>39</v>
      </c>
      <c r="CA8" s="4">
        <v>54</v>
      </c>
      <c r="CB8" s="4">
        <v>54</v>
      </c>
      <c r="CC8" s="4">
        <v>33</v>
      </c>
      <c r="CD8" s="4">
        <v>44</v>
      </c>
      <c r="CE8" s="4">
        <v>28</v>
      </c>
      <c r="CF8" s="4">
        <v>24</v>
      </c>
      <c r="CG8" s="4">
        <v>65</v>
      </c>
      <c r="CH8" s="4">
        <v>32</v>
      </c>
      <c r="CI8" s="4">
        <v>24</v>
      </c>
      <c r="CJ8" s="4">
        <v>28</v>
      </c>
      <c r="CK8" s="4">
        <v>34</v>
      </c>
      <c r="CL8" s="4">
        <v>37</v>
      </c>
      <c r="CM8" s="4"/>
    </row>
    <row r="9" spans="1:91" x14ac:dyDescent="0.25">
      <c r="A9" s="1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>
        <v>55</v>
      </c>
      <c r="N9" s="4">
        <v>127</v>
      </c>
      <c r="O9" s="4">
        <v>44</v>
      </c>
      <c r="P9" s="4">
        <v>78</v>
      </c>
      <c r="Q9" s="4">
        <v>55</v>
      </c>
      <c r="R9" s="4">
        <v>67</v>
      </c>
      <c r="S9" s="4">
        <v>57</v>
      </c>
      <c r="T9" s="4">
        <v>44</v>
      </c>
      <c r="U9" s="4">
        <v>13</v>
      </c>
      <c r="V9" s="4">
        <v>58</v>
      </c>
      <c r="W9" s="4">
        <v>78</v>
      </c>
      <c r="X9" s="4">
        <v>45</v>
      </c>
      <c r="Y9" s="4">
        <v>61</v>
      </c>
      <c r="Z9" s="4">
        <v>32</v>
      </c>
      <c r="AA9" s="4">
        <v>26</v>
      </c>
      <c r="AB9" s="4">
        <v>90</v>
      </c>
      <c r="AC9" s="4">
        <v>14</v>
      </c>
      <c r="AD9" s="4">
        <v>2</v>
      </c>
      <c r="AE9" s="4">
        <v>69</v>
      </c>
      <c r="AF9" s="4">
        <v>8</v>
      </c>
      <c r="AG9" s="4">
        <v>36</v>
      </c>
      <c r="AH9" s="4">
        <v>20</v>
      </c>
      <c r="AI9" s="4">
        <v>31</v>
      </c>
      <c r="AJ9" s="4">
        <v>33</v>
      </c>
      <c r="AK9" s="4">
        <v>30</v>
      </c>
      <c r="AL9" s="4">
        <v>47</v>
      </c>
      <c r="AM9" s="4">
        <v>43</v>
      </c>
      <c r="AN9" s="4">
        <v>36</v>
      </c>
      <c r="AO9" s="4">
        <v>59</v>
      </c>
      <c r="AP9" s="4">
        <v>64</v>
      </c>
      <c r="AQ9" s="4">
        <v>51</v>
      </c>
      <c r="AR9" s="4">
        <v>92</v>
      </c>
      <c r="AS9" s="4">
        <v>92</v>
      </c>
      <c r="AT9" s="4">
        <v>61</v>
      </c>
      <c r="AU9" s="4">
        <v>89</v>
      </c>
      <c r="AV9" s="4">
        <v>48</v>
      </c>
      <c r="AW9" s="4">
        <v>33</v>
      </c>
      <c r="AX9" s="4">
        <v>90</v>
      </c>
      <c r="AY9" s="4">
        <v>64</v>
      </c>
      <c r="AZ9" s="4">
        <v>76</v>
      </c>
      <c r="BA9" s="4">
        <v>84</v>
      </c>
      <c r="BB9" s="4">
        <v>11</v>
      </c>
      <c r="BC9" s="4">
        <v>11</v>
      </c>
      <c r="BD9" s="4">
        <v>24</v>
      </c>
      <c r="BE9" s="4">
        <v>33</v>
      </c>
      <c r="BF9" s="4">
        <v>26</v>
      </c>
      <c r="BG9" s="4">
        <v>50</v>
      </c>
      <c r="BH9" s="4">
        <v>38</v>
      </c>
      <c r="BI9" s="4">
        <v>26</v>
      </c>
      <c r="BJ9" s="4">
        <v>19</v>
      </c>
      <c r="BK9" s="4">
        <v>16</v>
      </c>
      <c r="BL9" s="4">
        <v>276</v>
      </c>
      <c r="BM9" s="4">
        <v>124</v>
      </c>
      <c r="BN9" s="4">
        <v>155</v>
      </c>
      <c r="BO9" s="4">
        <v>156</v>
      </c>
      <c r="BP9" s="4">
        <v>99</v>
      </c>
      <c r="BQ9" s="4">
        <v>113</v>
      </c>
      <c r="BR9" s="4">
        <v>103</v>
      </c>
      <c r="BS9" s="4">
        <v>56</v>
      </c>
      <c r="BT9" s="4">
        <v>33</v>
      </c>
      <c r="BU9" s="4">
        <v>66</v>
      </c>
      <c r="BV9" s="4">
        <v>85</v>
      </c>
      <c r="BW9" s="4">
        <v>110</v>
      </c>
      <c r="BX9" s="4">
        <v>141</v>
      </c>
      <c r="BY9" s="4">
        <v>40</v>
      </c>
      <c r="BZ9" s="4">
        <v>88</v>
      </c>
      <c r="CA9" s="4">
        <v>122</v>
      </c>
      <c r="CB9" s="4">
        <v>85</v>
      </c>
      <c r="CC9" s="4">
        <v>41</v>
      </c>
      <c r="CD9" s="4">
        <v>73</v>
      </c>
      <c r="CE9" s="4">
        <v>40</v>
      </c>
      <c r="CF9" s="4">
        <v>52</v>
      </c>
      <c r="CG9" s="4">
        <v>117</v>
      </c>
      <c r="CH9" s="4">
        <v>29</v>
      </c>
      <c r="CI9" s="4">
        <v>40</v>
      </c>
      <c r="CJ9" s="4">
        <v>23</v>
      </c>
      <c r="CK9" s="4">
        <v>37</v>
      </c>
      <c r="CL9" s="4">
        <v>42</v>
      </c>
      <c r="CM9" s="4"/>
    </row>
    <row r="10" spans="1:91" x14ac:dyDescent="0.25">
      <c r="A10" s="1" t="s">
        <v>15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>
        <v>53</v>
      </c>
      <c r="N10" s="4">
        <v>186</v>
      </c>
      <c r="O10" s="4">
        <v>434</v>
      </c>
      <c r="P10" s="4">
        <v>303</v>
      </c>
      <c r="Q10" s="4">
        <v>687</v>
      </c>
      <c r="R10" s="4">
        <v>456</v>
      </c>
      <c r="S10" s="4">
        <v>175</v>
      </c>
      <c r="T10" s="4">
        <v>284</v>
      </c>
      <c r="U10" s="4">
        <v>177</v>
      </c>
      <c r="V10" s="4">
        <v>394</v>
      </c>
      <c r="W10" s="4">
        <v>124</v>
      </c>
      <c r="X10" s="4">
        <v>72</v>
      </c>
      <c r="Y10" s="4">
        <v>189</v>
      </c>
      <c r="Z10" s="4">
        <v>837</v>
      </c>
      <c r="AA10" s="4">
        <v>457</v>
      </c>
      <c r="AB10" s="4">
        <v>604</v>
      </c>
      <c r="AC10" s="4">
        <v>174</v>
      </c>
      <c r="AD10" s="4">
        <v>475</v>
      </c>
      <c r="AE10" s="4">
        <v>1330</v>
      </c>
      <c r="AF10" s="4">
        <v>171</v>
      </c>
      <c r="AG10" s="4">
        <v>475</v>
      </c>
      <c r="AH10" s="4">
        <v>756</v>
      </c>
      <c r="AI10" s="4">
        <v>709</v>
      </c>
      <c r="AJ10" s="4">
        <v>378</v>
      </c>
      <c r="AK10" s="4">
        <v>77</v>
      </c>
      <c r="AL10" s="4">
        <v>1075</v>
      </c>
      <c r="AM10" s="4">
        <v>148</v>
      </c>
      <c r="AN10" s="4">
        <v>2940</v>
      </c>
      <c r="AO10" s="4">
        <v>5095</v>
      </c>
      <c r="AP10" s="4">
        <v>197</v>
      </c>
      <c r="AQ10" s="4">
        <v>650</v>
      </c>
      <c r="AR10" s="4">
        <v>1268</v>
      </c>
      <c r="AS10" s="4">
        <v>212</v>
      </c>
      <c r="AT10" s="4">
        <v>335</v>
      </c>
      <c r="AU10" s="4">
        <v>748</v>
      </c>
      <c r="AV10" s="4">
        <v>111</v>
      </c>
      <c r="AW10" s="4">
        <v>173</v>
      </c>
      <c r="AX10" s="4">
        <v>769</v>
      </c>
      <c r="AY10" s="4">
        <v>269</v>
      </c>
      <c r="AZ10" s="4">
        <v>558</v>
      </c>
      <c r="BA10" s="4">
        <v>441</v>
      </c>
      <c r="BB10" s="4">
        <v>12</v>
      </c>
      <c r="BC10" s="4">
        <v>9</v>
      </c>
      <c r="BD10" s="4">
        <v>15</v>
      </c>
      <c r="BE10" s="4">
        <v>21</v>
      </c>
      <c r="BF10" s="4">
        <v>14</v>
      </c>
      <c r="BG10" s="4">
        <v>27</v>
      </c>
      <c r="BH10" s="4">
        <v>27</v>
      </c>
      <c r="BI10" s="4">
        <v>14</v>
      </c>
      <c r="BJ10" s="4">
        <v>19</v>
      </c>
      <c r="BK10" s="4">
        <v>24</v>
      </c>
      <c r="BL10" s="4">
        <v>96</v>
      </c>
      <c r="BM10" s="4">
        <v>20</v>
      </c>
      <c r="BN10" s="4">
        <v>43</v>
      </c>
      <c r="BO10" s="4">
        <v>58</v>
      </c>
      <c r="BP10" s="4">
        <v>37</v>
      </c>
      <c r="BQ10" s="4">
        <v>45</v>
      </c>
      <c r="BR10" s="4">
        <v>276</v>
      </c>
      <c r="BS10" s="4">
        <v>388</v>
      </c>
      <c r="BT10" s="4">
        <v>13</v>
      </c>
      <c r="BU10" s="4">
        <v>25</v>
      </c>
      <c r="BV10" s="4">
        <v>45</v>
      </c>
      <c r="BW10" s="4">
        <v>58</v>
      </c>
      <c r="BX10" s="4">
        <v>105</v>
      </c>
      <c r="BY10" s="4">
        <v>10</v>
      </c>
      <c r="BZ10" s="4">
        <v>37</v>
      </c>
      <c r="CA10" s="4">
        <v>44</v>
      </c>
      <c r="CB10" s="4">
        <v>25</v>
      </c>
      <c r="CC10" s="4">
        <v>36</v>
      </c>
      <c r="CD10" s="4">
        <v>22</v>
      </c>
      <c r="CE10" s="4">
        <v>29</v>
      </c>
      <c r="CF10" s="4">
        <v>27</v>
      </c>
      <c r="CG10" s="4"/>
      <c r="CH10" s="4">
        <v>148</v>
      </c>
      <c r="CI10" s="4">
        <v>22</v>
      </c>
      <c r="CJ10" s="4">
        <v>19</v>
      </c>
      <c r="CK10" s="4">
        <v>17</v>
      </c>
      <c r="CL10" s="4">
        <v>31</v>
      </c>
      <c r="CM10" s="4"/>
    </row>
    <row r="11" spans="1:91" x14ac:dyDescent="0.25">
      <c r="A11" s="1" t="s">
        <v>16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>
        <v>479</v>
      </c>
      <c r="N11" s="4">
        <v>356</v>
      </c>
      <c r="O11" s="4">
        <v>380</v>
      </c>
      <c r="P11" s="4">
        <v>498</v>
      </c>
      <c r="Q11" s="4">
        <v>711</v>
      </c>
      <c r="R11" s="4">
        <v>847</v>
      </c>
      <c r="S11" s="4">
        <v>223</v>
      </c>
      <c r="T11" s="4">
        <v>423</v>
      </c>
      <c r="U11" s="4">
        <v>271</v>
      </c>
      <c r="V11" s="4">
        <v>485</v>
      </c>
      <c r="W11" s="4">
        <v>219</v>
      </c>
      <c r="X11" s="4">
        <v>282</v>
      </c>
      <c r="Y11" s="4">
        <v>166</v>
      </c>
      <c r="Z11" s="4">
        <v>797</v>
      </c>
      <c r="AA11" s="4">
        <v>415</v>
      </c>
      <c r="AB11" s="4">
        <v>389</v>
      </c>
      <c r="AC11" s="4">
        <v>638</v>
      </c>
      <c r="AD11" s="4">
        <v>376</v>
      </c>
      <c r="AE11" s="4">
        <v>683</v>
      </c>
      <c r="AF11" s="4">
        <v>138</v>
      </c>
      <c r="AG11" s="4">
        <v>273</v>
      </c>
      <c r="AH11" s="4">
        <v>858</v>
      </c>
      <c r="AI11" s="4">
        <v>226</v>
      </c>
      <c r="AJ11" s="4">
        <v>436</v>
      </c>
      <c r="AK11" s="4">
        <v>136</v>
      </c>
      <c r="AL11" s="4">
        <v>393</v>
      </c>
      <c r="AM11" s="4">
        <v>493</v>
      </c>
      <c r="AN11" s="4">
        <v>314</v>
      </c>
      <c r="AO11" s="4">
        <v>569</v>
      </c>
      <c r="AP11" s="4">
        <v>105</v>
      </c>
      <c r="AQ11" s="4">
        <v>91</v>
      </c>
      <c r="AR11" s="4">
        <v>154</v>
      </c>
      <c r="AS11" s="4">
        <v>49</v>
      </c>
      <c r="AT11" s="4">
        <v>52</v>
      </c>
      <c r="AU11" s="4">
        <v>166</v>
      </c>
      <c r="AV11" s="4">
        <v>58</v>
      </c>
      <c r="AW11" s="4">
        <v>74</v>
      </c>
      <c r="AX11" s="4">
        <v>180</v>
      </c>
      <c r="AY11" s="4">
        <v>88</v>
      </c>
      <c r="AZ11" s="4">
        <v>99</v>
      </c>
      <c r="BA11" s="4">
        <v>88</v>
      </c>
      <c r="BB11" s="4">
        <v>110</v>
      </c>
      <c r="BC11" s="4">
        <v>72</v>
      </c>
      <c r="BD11" s="4">
        <v>133</v>
      </c>
      <c r="BE11" s="4">
        <v>95</v>
      </c>
      <c r="BF11" s="4">
        <v>190</v>
      </c>
      <c r="BG11" s="4">
        <v>193</v>
      </c>
      <c r="BH11" s="4">
        <v>120</v>
      </c>
      <c r="BI11" s="4">
        <v>169</v>
      </c>
      <c r="BJ11" s="4">
        <v>161</v>
      </c>
      <c r="BK11" s="4">
        <v>210</v>
      </c>
      <c r="BL11" s="4">
        <v>345</v>
      </c>
      <c r="BM11" s="4">
        <v>131</v>
      </c>
      <c r="BN11" s="4">
        <v>171</v>
      </c>
      <c r="BO11" s="4">
        <v>78</v>
      </c>
      <c r="BP11" s="4">
        <v>176</v>
      </c>
      <c r="BQ11" s="4">
        <v>150</v>
      </c>
      <c r="BR11" s="4">
        <v>247</v>
      </c>
      <c r="BS11" s="4">
        <v>547</v>
      </c>
      <c r="BT11" s="4">
        <v>257</v>
      </c>
      <c r="BU11" s="4">
        <v>139</v>
      </c>
      <c r="BV11" s="4">
        <v>181</v>
      </c>
      <c r="BW11" s="4">
        <v>320</v>
      </c>
      <c r="BX11" s="4">
        <v>260</v>
      </c>
      <c r="BY11" s="4">
        <v>99</v>
      </c>
      <c r="BZ11" s="4">
        <v>168</v>
      </c>
      <c r="CA11" s="4">
        <v>156</v>
      </c>
      <c r="CB11" s="4">
        <v>122</v>
      </c>
      <c r="CC11" s="4">
        <v>174</v>
      </c>
      <c r="CD11" s="4">
        <v>156</v>
      </c>
      <c r="CE11" s="4">
        <v>195</v>
      </c>
      <c r="CF11" s="4">
        <v>182</v>
      </c>
      <c r="CG11" s="4"/>
      <c r="CH11" s="4">
        <v>278</v>
      </c>
      <c r="CI11" s="4">
        <v>170</v>
      </c>
      <c r="CJ11" s="4">
        <v>178</v>
      </c>
      <c r="CK11" s="4">
        <v>121</v>
      </c>
      <c r="CL11" s="4">
        <v>183</v>
      </c>
      <c r="CM11" s="4"/>
    </row>
    <row r="12" spans="1:91" x14ac:dyDescent="0.25">
      <c r="A12" s="1" t="s">
        <v>17</v>
      </c>
      <c r="B12" s="41">
        <v>13.9</v>
      </c>
      <c r="C12" s="41">
        <v>30.6</v>
      </c>
      <c r="D12" s="41">
        <v>29.1</v>
      </c>
      <c r="E12" s="41">
        <v>18.2</v>
      </c>
      <c r="F12" s="41">
        <v>21.3</v>
      </c>
      <c r="G12" s="41">
        <v>12.8</v>
      </c>
      <c r="H12" s="41">
        <v>25.6</v>
      </c>
      <c r="I12" s="41">
        <v>39.6</v>
      </c>
      <c r="J12" s="41">
        <v>12</v>
      </c>
      <c r="K12" s="41">
        <v>19.5</v>
      </c>
      <c r="L12" s="41">
        <v>16.399999999999999</v>
      </c>
      <c r="M12" s="41">
        <v>25</v>
      </c>
      <c r="N12" s="41">
        <v>16.399999999999999</v>
      </c>
      <c r="O12" s="41">
        <v>20.5</v>
      </c>
      <c r="P12" s="41">
        <v>35.799999999999997</v>
      </c>
      <c r="Q12" s="41">
        <v>12.7</v>
      </c>
      <c r="R12" s="41">
        <v>10</v>
      </c>
      <c r="S12" s="41">
        <v>26.6</v>
      </c>
      <c r="T12" s="41">
        <v>21</v>
      </c>
      <c r="U12" s="41">
        <v>5.7</v>
      </c>
      <c r="V12" s="41">
        <v>19.600000000000001</v>
      </c>
      <c r="W12" s="41">
        <v>18.399999999999999</v>
      </c>
      <c r="X12" s="41">
        <v>26.8</v>
      </c>
      <c r="Y12" s="41">
        <v>13.7</v>
      </c>
      <c r="Z12" s="41">
        <v>13.9</v>
      </c>
      <c r="AA12" s="41">
        <v>30.8</v>
      </c>
      <c r="AB12" s="41">
        <v>10.5</v>
      </c>
      <c r="AC12" s="41">
        <v>11.2</v>
      </c>
      <c r="AD12" s="41">
        <v>31.5</v>
      </c>
      <c r="AE12" s="41">
        <v>2.7</v>
      </c>
      <c r="AF12" s="41">
        <v>1.7</v>
      </c>
      <c r="AG12" s="41">
        <v>0.9</v>
      </c>
      <c r="AH12" s="41">
        <v>2.6</v>
      </c>
      <c r="AI12" s="41">
        <v>1.4</v>
      </c>
      <c r="AJ12" s="41">
        <v>0.9</v>
      </c>
      <c r="AK12" s="41">
        <v>0.7</v>
      </c>
      <c r="AL12" s="41">
        <v>4.8</v>
      </c>
      <c r="AM12" s="41">
        <v>0.8</v>
      </c>
      <c r="AN12" s="41">
        <v>3.8</v>
      </c>
      <c r="AO12" s="41">
        <v>4.4000000000000004</v>
      </c>
      <c r="AP12" s="41">
        <v>1</v>
      </c>
      <c r="AQ12" s="41">
        <v>0.4</v>
      </c>
      <c r="AR12" s="41">
        <v>0.7</v>
      </c>
      <c r="AS12" s="41">
        <v>1.2999999523162842</v>
      </c>
      <c r="AT12" s="41">
        <v>1.5</v>
      </c>
      <c r="AU12" s="41">
        <v>1.7000000476837158</v>
      </c>
      <c r="AV12" s="41">
        <v>0.40000000596046448</v>
      </c>
      <c r="AW12" s="41">
        <v>1.2000000476837158</v>
      </c>
      <c r="AX12" s="41">
        <v>1.2000000476837158</v>
      </c>
      <c r="AY12" s="41">
        <v>1.5</v>
      </c>
      <c r="AZ12" s="41">
        <v>0.80000001192092896</v>
      </c>
      <c r="BA12" s="41">
        <v>1.2000000476837158</v>
      </c>
      <c r="BB12" s="41">
        <v>0.5</v>
      </c>
      <c r="BC12" s="41">
        <v>0.6</v>
      </c>
      <c r="BD12" s="41">
        <v>0.7</v>
      </c>
      <c r="BE12" s="41">
        <v>0.5</v>
      </c>
      <c r="BF12" s="41">
        <v>0.4</v>
      </c>
      <c r="BG12" s="41">
        <v>0.6</v>
      </c>
      <c r="BH12" s="41">
        <v>0.6</v>
      </c>
      <c r="BI12" s="41">
        <v>0.8</v>
      </c>
      <c r="BJ12" s="41">
        <v>0.7</v>
      </c>
      <c r="BK12" s="41">
        <v>0.5</v>
      </c>
      <c r="BL12" s="41">
        <v>1.8</v>
      </c>
      <c r="BM12" s="41">
        <v>1.5</v>
      </c>
      <c r="BN12" s="41">
        <v>1.1000000000000001</v>
      </c>
      <c r="BO12" s="41">
        <v>0.8</v>
      </c>
      <c r="BP12" s="41">
        <v>1.1000000000000001</v>
      </c>
      <c r="BQ12" s="41">
        <v>0.6</v>
      </c>
      <c r="BR12" s="41">
        <v>0.7</v>
      </c>
      <c r="BS12" s="41">
        <v>0.8</v>
      </c>
      <c r="BT12" s="41">
        <v>1.9</v>
      </c>
      <c r="BU12" s="41">
        <v>0.9</v>
      </c>
      <c r="BV12" s="41">
        <v>1.7</v>
      </c>
      <c r="BW12" s="41">
        <v>0.8</v>
      </c>
      <c r="BX12" s="41">
        <v>1</v>
      </c>
      <c r="BY12" s="41">
        <v>0.6</v>
      </c>
      <c r="BZ12" s="41">
        <v>0.6</v>
      </c>
      <c r="CA12" s="41">
        <v>0.6</v>
      </c>
      <c r="CB12" s="41">
        <v>0.7</v>
      </c>
      <c r="CC12" s="41">
        <v>1.4</v>
      </c>
      <c r="CD12" s="41">
        <v>0.6</v>
      </c>
      <c r="CE12" s="41">
        <v>0.8</v>
      </c>
      <c r="CF12" s="41">
        <v>0.4</v>
      </c>
      <c r="CG12" s="41">
        <v>0.63</v>
      </c>
      <c r="CH12" s="41">
        <v>0.9</v>
      </c>
      <c r="CI12" s="41">
        <v>0.5</v>
      </c>
      <c r="CJ12" s="41">
        <v>0.2</v>
      </c>
      <c r="CK12" s="41">
        <v>0.4</v>
      </c>
      <c r="CL12" s="41">
        <v>0.7</v>
      </c>
      <c r="CM12" s="41"/>
    </row>
    <row r="13" spans="1:91" x14ac:dyDescent="0.25">
      <c r="A13" s="1" t="s">
        <v>20</v>
      </c>
      <c r="B13" s="4"/>
      <c r="C13" s="4">
        <v>2</v>
      </c>
      <c r="D13" s="4">
        <v>3.7</v>
      </c>
      <c r="E13" s="4">
        <v>2.8</v>
      </c>
      <c r="F13" s="4"/>
      <c r="G13" s="4">
        <v>2.37</v>
      </c>
      <c r="H13" s="4">
        <v>3.6</v>
      </c>
      <c r="I13" s="4">
        <v>1.9</v>
      </c>
      <c r="J13" s="4">
        <v>1.5</v>
      </c>
      <c r="K13" s="4">
        <v>2.0499999999999998</v>
      </c>
      <c r="L13" s="4">
        <v>1.9</v>
      </c>
      <c r="M13" s="4">
        <v>2.23</v>
      </c>
      <c r="N13" s="4">
        <v>1.56</v>
      </c>
      <c r="O13" s="4">
        <v>2.11</v>
      </c>
      <c r="P13" s="4">
        <v>1.62</v>
      </c>
      <c r="Q13" s="4">
        <v>1.67</v>
      </c>
      <c r="R13" s="4">
        <v>1.76</v>
      </c>
      <c r="S13" s="4">
        <v>1.59</v>
      </c>
      <c r="T13" s="4">
        <v>1.74</v>
      </c>
      <c r="U13" s="4">
        <v>1.56</v>
      </c>
      <c r="V13" s="4">
        <v>1.42</v>
      </c>
      <c r="W13" s="4">
        <v>1.49</v>
      </c>
      <c r="X13" s="4">
        <v>3.32</v>
      </c>
      <c r="Y13" s="4">
        <v>1.46</v>
      </c>
      <c r="Z13" s="4">
        <v>1.68</v>
      </c>
      <c r="AA13" s="4">
        <v>2.2000000000000002</v>
      </c>
      <c r="AB13" s="4">
        <v>1.35</v>
      </c>
      <c r="AC13" s="4">
        <v>1.79</v>
      </c>
      <c r="AD13" s="4">
        <v>1.82</v>
      </c>
      <c r="AE13" s="4">
        <v>1.18</v>
      </c>
      <c r="AF13" s="4">
        <v>1.25</v>
      </c>
      <c r="AG13" s="4">
        <v>1.42</v>
      </c>
      <c r="AH13" s="4">
        <v>1.44</v>
      </c>
      <c r="AI13" s="4">
        <v>1.45</v>
      </c>
      <c r="AJ13" s="4">
        <v>1.06</v>
      </c>
      <c r="AK13" s="4">
        <v>0.99</v>
      </c>
      <c r="AL13" s="4">
        <v>1.68</v>
      </c>
      <c r="AM13" s="4">
        <v>1.23</v>
      </c>
      <c r="AN13" s="4">
        <v>1.1299999999999999</v>
      </c>
      <c r="AO13" s="4">
        <v>1.27</v>
      </c>
      <c r="AP13" s="4">
        <v>0.99</v>
      </c>
      <c r="AQ13" s="4">
        <v>0.95</v>
      </c>
      <c r="AR13" s="4">
        <v>0.81</v>
      </c>
      <c r="AS13" s="4">
        <v>0.97000002861022949</v>
      </c>
      <c r="AT13" s="4">
        <v>1.0299999713897705</v>
      </c>
      <c r="AU13" s="4">
        <v>1.0099999904632568</v>
      </c>
      <c r="AV13" s="4">
        <v>1.0199999809265137</v>
      </c>
      <c r="AW13" s="4">
        <v>1.2000000476837158</v>
      </c>
      <c r="AX13" s="4">
        <v>0.89999997615814209</v>
      </c>
      <c r="AY13" s="4">
        <v>0.89999997615814209</v>
      </c>
      <c r="AZ13" s="4">
        <v>1.0199999809265137</v>
      </c>
      <c r="BA13" s="4">
        <v>0.99000000953674316</v>
      </c>
      <c r="BB13" s="4">
        <v>1.07</v>
      </c>
      <c r="BC13" s="4">
        <v>1.05</v>
      </c>
      <c r="BD13" s="4">
        <v>1.02</v>
      </c>
      <c r="BE13" s="4">
        <v>0.89</v>
      </c>
      <c r="BF13" s="4">
        <v>0.98599999999999999</v>
      </c>
      <c r="BG13" s="4">
        <v>1.04</v>
      </c>
      <c r="BH13" s="4">
        <v>0.99</v>
      </c>
      <c r="BI13" s="4">
        <v>1.07</v>
      </c>
      <c r="BJ13" s="4">
        <v>1.03</v>
      </c>
      <c r="BK13" s="4">
        <v>0.99</v>
      </c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</row>
    <row r="14" spans="1:91" x14ac:dyDescent="0.25">
      <c r="A14" s="1" t="s">
        <v>22</v>
      </c>
      <c r="B14" s="42">
        <v>23</v>
      </c>
      <c r="C14" s="42">
        <v>22.5</v>
      </c>
      <c r="D14" s="42">
        <v>23</v>
      </c>
      <c r="E14" s="42">
        <v>14.3</v>
      </c>
      <c r="F14" s="42"/>
      <c r="G14" s="42">
        <v>20</v>
      </c>
      <c r="H14" s="42">
        <v>40</v>
      </c>
      <c r="I14" s="42">
        <v>34</v>
      </c>
      <c r="J14" s="42">
        <v>26.4</v>
      </c>
      <c r="K14" s="42">
        <v>27</v>
      </c>
      <c r="L14" s="42">
        <v>23</v>
      </c>
      <c r="M14" s="4">
        <v>22</v>
      </c>
      <c r="N14" s="4">
        <v>22</v>
      </c>
      <c r="O14" s="4">
        <v>32</v>
      </c>
      <c r="P14" s="4">
        <v>29</v>
      </c>
      <c r="Q14" s="4">
        <v>24</v>
      </c>
      <c r="R14" s="4">
        <v>29</v>
      </c>
      <c r="S14" s="4">
        <v>32</v>
      </c>
      <c r="T14" s="4">
        <v>23</v>
      </c>
      <c r="U14" s="4">
        <v>25</v>
      </c>
      <c r="V14" s="4">
        <v>33</v>
      </c>
      <c r="W14" s="4">
        <v>30</v>
      </c>
      <c r="X14" s="4">
        <v>21</v>
      </c>
      <c r="Y14" s="4">
        <v>25</v>
      </c>
      <c r="Z14" s="4">
        <v>26</v>
      </c>
      <c r="AA14" s="4">
        <v>30</v>
      </c>
      <c r="AB14" s="4">
        <v>21</v>
      </c>
      <c r="AC14" s="4">
        <v>23</v>
      </c>
      <c r="AD14" s="4">
        <v>23</v>
      </c>
      <c r="AE14" s="4">
        <v>24</v>
      </c>
      <c r="AF14" s="4">
        <v>29</v>
      </c>
      <c r="AG14" s="4">
        <v>32</v>
      </c>
      <c r="AH14" s="4">
        <v>23</v>
      </c>
      <c r="AI14" s="4">
        <v>29</v>
      </c>
      <c r="AJ14" s="4">
        <v>32</v>
      </c>
      <c r="AK14" s="4">
        <v>41</v>
      </c>
      <c r="AL14" s="4">
        <v>37</v>
      </c>
      <c r="AM14" s="4">
        <v>36</v>
      </c>
      <c r="AN14" s="4">
        <v>39</v>
      </c>
      <c r="AO14" s="4">
        <v>35</v>
      </c>
      <c r="AP14" s="4">
        <v>52.6</v>
      </c>
      <c r="AQ14" s="4"/>
      <c r="AR14" s="4"/>
      <c r="AS14" s="4">
        <v>43</v>
      </c>
      <c r="AT14" s="4">
        <v>40</v>
      </c>
      <c r="AU14" s="4">
        <v>40.9</v>
      </c>
      <c r="AV14" s="4">
        <v>46.9</v>
      </c>
      <c r="AW14" s="4">
        <v>41.9</v>
      </c>
      <c r="AX14" s="4">
        <v>46.9</v>
      </c>
      <c r="AY14" s="4">
        <v>45.9</v>
      </c>
      <c r="AZ14" s="4">
        <v>45</v>
      </c>
      <c r="BA14" s="4">
        <v>45</v>
      </c>
      <c r="BB14" s="4">
        <v>38</v>
      </c>
      <c r="BC14" s="4">
        <v>44</v>
      </c>
      <c r="BD14" s="4">
        <v>46</v>
      </c>
      <c r="BE14" s="4">
        <v>46</v>
      </c>
      <c r="BF14" s="4">
        <v>46</v>
      </c>
      <c r="BG14" s="4">
        <v>45</v>
      </c>
      <c r="BH14" s="4">
        <v>46</v>
      </c>
      <c r="BI14" s="4">
        <v>50</v>
      </c>
      <c r="BJ14" s="4">
        <v>46</v>
      </c>
      <c r="BK14" s="4">
        <v>41</v>
      </c>
      <c r="BL14" s="4"/>
      <c r="BM14" s="4">
        <v>41</v>
      </c>
      <c r="BN14" s="4">
        <v>41</v>
      </c>
      <c r="BO14" s="4">
        <v>47</v>
      </c>
      <c r="BP14" s="4"/>
      <c r="BQ14" s="4">
        <v>45</v>
      </c>
      <c r="BR14" s="4">
        <v>45</v>
      </c>
      <c r="BS14" s="4">
        <v>39</v>
      </c>
      <c r="BT14" s="4">
        <v>40</v>
      </c>
      <c r="BU14" s="4">
        <v>46</v>
      </c>
      <c r="BV14" s="4">
        <v>47</v>
      </c>
      <c r="BW14" s="4">
        <v>41</v>
      </c>
      <c r="BX14" s="4">
        <v>39</v>
      </c>
      <c r="BY14" s="4"/>
      <c r="BZ14" s="4">
        <v>48</v>
      </c>
      <c r="CA14" s="4"/>
      <c r="CB14" s="4">
        <v>44</v>
      </c>
      <c r="CC14" s="4">
        <v>44</v>
      </c>
      <c r="CD14" s="4">
        <v>44</v>
      </c>
      <c r="CE14" s="4">
        <v>45</v>
      </c>
      <c r="CF14" s="4">
        <v>46</v>
      </c>
      <c r="CG14" s="4"/>
      <c r="CH14" s="4">
        <v>45</v>
      </c>
      <c r="CI14" s="4">
        <v>47</v>
      </c>
      <c r="CJ14" s="4">
        <v>45</v>
      </c>
      <c r="CK14" s="4">
        <v>29</v>
      </c>
      <c r="CL14" s="4">
        <v>44</v>
      </c>
      <c r="CM14" s="4"/>
    </row>
    <row r="15" spans="1:91" x14ac:dyDescent="0.25">
      <c r="A15" s="1" t="s">
        <v>46</v>
      </c>
      <c r="B15" s="4">
        <v>10</v>
      </c>
      <c r="C15" s="4">
        <v>12</v>
      </c>
      <c r="D15" s="4">
        <v>13</v>
      </c>
      <c r="E15" s="4">
        <v>13</v>
      </c>
      <c r="F15" s="4">
        <v>12</v>
      </c>
      <c r="G15" s="4">
        <v>13</v>
      </c>
      <c r="H15" s="4">
        <v>9</v>
      </c>
      <c r="I15" s="4">
        <v>12</v>
      </c>
      <c r="J15" s="4">
        <v>12</v>
      </c>
      <c r="K15" s="4">
        <v>11</v>
      </c>
      <c r="L15" s="4">
        <v>14</v>
      </c>
      <c r="M15" s="4">
        <v>11</v>
      </c>
      <c r="N15" s="4">
        <v>9</v>
      </c>
      <c r="O15" s="4">
        <v>9</v>
      </c>
      <c r="P15" s="4">
        <v>9</v>
      </c>
      <c r="Q15" s="4">
        <v>12</v>
      </c>
      <c r="R15" s="4">
        <v>10</v>
      </c>
      <c r="S15" s="4">
        <v>10</v>
      </c>
      <c r="T15" s="4">
        <v>11</v>
      </c>
      <c r="U15" s="4">
        <v>11</v>
      </c>
      <c r="V15" s="4">
        <v>9</v>
      </c>
      <c r="W15" s="4">
        <v>9</v>
      </c>
      <c r="X15" s="4">
        <v>13</v>
      </c>
      <c r="Y15" s="4">
        <v>9</v>
      </c>
      <c r="Z15" s="4">
        <v>12</v>
      </c>
      <c r="AA15" s="4">
        <v>12</v>
      </c>
      <c r="AB15" s="4">
        <v>12</v>
      </c>
      <c r="AC15" s="4">
        <v>11</v>
      </c>
      <c r="AD15" s="4">
        <v>11</v>
      </c>
      <c r="AE15" s="4">
        <v>9</v>
      </c>
      <c r="AF15" s="4">
        <v>6</v>
      </c>
      <c r="AG15" s="4">
        <v>7</v>
      </c>
      <c r="AH15" s="4">
        <v>9</v>
      </c>
      <c r="AI15" s="4">
        <v>7</v>
      </c>
      <c r="AJ15" s="4">
        <v>6</v>
      </c>
      <c r="AK15" s="4">
        <v>5</v>
      </c>
      <c r="AL15" s="4">
        <v>9</v>
      </c>
      <c r="AM15" s="4">
        <v>5</v>
      </c>
      <c r="AN15" s="4">
        <v>7</v>
      </c>
      <c r="AO15" s="4">
        <v>8</v>
      </c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</row>
    <row r="16" spans="1:91" x14ac:dyDescent="0.25">
      <c r="A16" s="1" t="s">
        <v>47</v>
      </c>
      <c r="B16" s="42">
        <v>19.210509823634517</v>
      </c>
      <c r="C16" s="42">
        <v>18.112933852313212</v>
      </c>
      <c r="D16" s="42">
        <v>40.925058267532897</v>
      </c>
      <c r="E16" s="42">
        <v>33.427045829943452</v>
      </c>
      <c r="F16" s="42">
        <v>20.937930784093659</v>
      </c>
      <c r="G16" s="42">
        <v>18.142242183011874</v>
      </c>
      <c r="H16" s="42">
        <v>17.989180541711306</v>
      </c>
      <c r="I16" s="42">
        <v>18.102883026164079</v>
      </c>
      <c r="J16" s="42"/>
      <c r="K16" s="42">
        <v>15.47555512756955</v>
      </c>
      <c r="L16" s="4"/>
      <c r="M16" s="4">
        <v>28</v>
      </c>
      <c r="N16" s="4">
        <v>22</v>
      </c>
      <c r="O16" s="4">
        <v>26</v>
      </c>
      <c r="P16" s="4">
        <v>27</v>
      </c>
      <c r="Q16" s="4">
        <v>24</v>
      </c>
      <c r="R16" s="4">
        <v>21</v>
      </c>
      <c r="S16" s="4">
        <v>24</v>
      </c>
      <c r="T16" s="4">
        <v>24</v>
      </c>
      <c r="U16" s="4">
        <v>18</v>
      </c>
      <c r="V16" s="4">
        <v>22</v>
      </c>
      <c r="W16" s="4">
        <v>32</v>
      </c>
      <c r="X16" s="4">
        <v>33</v>
      </c>
      <c r="Y16" s="4">
        <v>24</v>
      </c>
      <c r="Z16" s="4">
        <v>22</v>
      </c>
      <c r="AA16" s="4">
        <v>41</v>
      </c>
      <c r="AB16" s="4">
        <v>21</v>
      </c>
      <c r="AC16" s="4">
        <v>22</v>
      </c>
      <c r="AD16" s="4">
        <v>29</v>
      </c>
      <c r="AE16" s="4">
        <v>12</v>
      </c>
      <c r="AF16" s="4">
        <v>11</v>
      </c>
      <c r="AG16" s="4">
        <v>10</v>
      </c>
      <c r="AH16" s="4">
        <v>14</v>
      </c>
      <c r="AI16" s="4">
        <v>12</v>
      </c>
      <c r="AJ16" s="4">
        <v>7</v>
      </c>
      <c r="AK16" s="4">
        <v>6</v>
      </c>
      <c r="AL16" s="4">
        <v>18</v>
      </c>
      <c r="AM16" s="4">
        <v>19</v>
      </c>
      <c r="AN16" s="4">
        <v>13</v>
      </c>
      <c r="AO16" s="4">
        <v>15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</row>
    <row r="17" spans="1:91" x14ac:dyDescent="0.25">
      <c r="A17" s="1" t="s">
        <v>48</v>
      </c>
      <c r="B17" s="42">
        <v>7.0890000000000004</v>
      </c>
      <c r="C17" s="42">
        <v>8.822000000000001</v>
      </c>
      <c r="D17" s="42">
        <v>10.118</v>
      </c>
      <c r="E17" s="42">
        <v>8.7760000000000016</v>
      </c>
      <c r="F17" s="42">
        <v>9.48</v>
      </c>
      <c r="G17" s="42">
        <v>7.2070000000000007</v>
      </c>
      <c r="H17" s="42">
        <v>6.5420000000000007</v>
      </c>
      <c r="I17" s="42">
        <v>7.56</v>
      </c>
      <c r="J17" s="42"/>
      <c r="K17" s="42">
        <v>8.84</v>
      </c>
      <c r="L17" s="4"/>
      <c r="M17" s="4">
        <v>7.84</v>
      </c>
      <c r="N17" s="4">
        <v>7.04</v>
      </c>
      <c r="O17" s="4">
        <v>8.34</v>
      </c>
      <c r="P17" s="4">
        <v>11.7</v>
      </c>
      <c r="Q17" s="4">
        <v>8.3800000000000008</v>
      </c>
      <c r="R17" s="4">
        <v>7.08</v>
      </c>
      <c r="S17" s="4">
        <v>8.9</v>
      </c>
      <c r="T17" s="4">
        <v>6.92</v>
      </c>
      <c r="U17" s="4">
        <v>7.5</v>
      </c>
      <c r="V17" s="4">
        <v>8.1</v>
      </c>
      <c r="W17" s="4">
        <v>8.6</v>
      </c>
      <c r="X17" s="4">
        <v>8.02</v>
      </c>
      <c r="Y17" s="4">
        <v>8.68</v>
      </c>
      <c r="Z17" s="4">
        <v>8.2799999999999994</v>
      </c>
      <c r="AA17" s="4">
        <v>11.07</v>
      </c>
      <c r="AB17" s="4">
        <v>8.9</v>
      </c>
      <c r="AC17" s="4">
        <v>7.9</v>
      </c>
      <c r="AD17" s="4">
        <v>10.9</v>
      </c>
      <c r="AE17" s="4">
        <v>5.94</v>
      </c>
      <c r="AF17" s="4">
        <v>5.09</v>
      </c>
      <c r="AG17" s="4">
        <v>6.68</v>
      </c>
      <c r="AH17" s="4">
        <v>6</v>
      </c>
      <c r="AI17" s="4">
        <v>6</v>
      </c>
      <c r="AJ17" s="4">
        <v>5.08</v>
      </c>
      <c r="AK17" s="4">
        <v>6.21</v>
      </c>
      <c r="AL17" s="4">
        <v>6.68</v>
      </c>
      <c r="AM17" s="4">
        <v>6.64</v>
      </c>
      <c r="AN17" s="4">
        <v>4.82</v>
      </c>
      <c r="AO17" s="4">
        <v>6.05</v>
      </c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</row>
  </sheetData>
  <conditionalFormatting sqref="A8:CM8">
    <cfRule type="colorScale" priority="9">
      <colorScale>
        <cfvo type="min"/>
        <cfvo type="max"/>
        <color rgb="FFF6BED7"/>
        <color rgb="FFE12C2B"/>
      </colorScale>
    </cfRule>
  </conditionalFormatting>
  <conditionalFormatting sqref="A9:CM9">
    <cfRule type="colorScale" priority="8">
      <colorScale>
        <cfvo type="min"/>
        <cfvo type="max"/>
        <color rgb="FFF6BED7"/>
        <color rgb="FFE12C2B"/>
      </colorScale>
    </cfRule>
  </conditionalFormatting>
  <conditionalFormatting sqref="A10:CM10">
    <cfRule type="colorScale" priority="7">
      <colorScale>
        <cfvo type="min"/>
        <cfvo type="max"/>
        <color rgb="FFF6BED7"/>
        <color rgb="FFE12C2B"/>
      </colorScale>
    </cfRule>
  </conditionalFormatting>
  <conditionalFormatting sqref="A12:CM12">
    <cfRule type="colorScale" priority="6">
      <colorScale>
        <cfvo type="min"/>
        <cfvo type="max"/>
        <color rgb="FFF6BED7"/>
        <color rgb="FFE12C2B"/>
      </colorScale>
    </cfRule>
  </conditionalFormatting>
  <conditionalFormatting sqref="A13:CM13">
    <cfRule type="colorScale" priority="5">
      <colorScale>
        <cfvo type="min"/>
        <cfvo type="max"/>
        <color rgb="FFF6BED7"/>
        <color rgb="FFE12C2B"/>
      </colorScale>
    </cfRule>
  </conditionalFormatting>
  <conditionalFormatting sqref="A14:CM14">
    <cfRule type="colorScale" priority="4">
      <colorScale>
        <cfvo type="min"/>
        <cfvo type="max"/>
        <color rgb="FFF6BED7"/>
        <color rgb="FFE12C2B"/>
      </colorScale>
    </cfRule>
  </conditionalFormatting>
  <conditionalFormatting sqref="A15:CM15">
    <cfRule type="colorScale" priority="3">
      <colorScale>
        <cfvo type="min"/>
        <cfvo type="max"/>
        <color rgb="FFF6BED7"/>
        <color rgb="FFE12C2B"/>
      </colorScale>
    </cfRule>
  </conditionalFormatting>
  <conditionalFormatting sqref="A16:CM16">
    <cfRule type="colorScale" priority="2">
      <colorScale>
        <cfvo type="min"/>
        <cfvo type="max"/>
        <color rgb="FFF6BED7"/>
        <color rgb="FFE12C2B"/>
      </colorScale>
    </cfRule>
  </conditionalFormatting>
  <conditionalFormatting sqref="A17:CM17">
    <cfRule type="colorScale" priority="1">
      <colorScale>
        <cfvo type="min"/>
        <cfvo type="max"/>
        <color rgb="FFF6BED7"/>
        <color rgb="FFE12C2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A17"/>
  <sheetViews>
    <sheetView workbookViewId="0">
      <selection activeCell="A12" sqref="A12"/>
    </sheetView>
  </sheetViews>
  <sheetFormatPr defaultColWidth="1.875" defaultRowHeight="15.75" x14ac:dyDescent="0.25"/>
  <cols>
    <col min="1" max="1" width="13.125" customWidth="1"/>
    <col min="104" max="105" width="7.875" customWidth="1"/>
  </cols>
  <sheetData>
    <row r="1" spans="1:105" x14ac:dyDescent="0.25">
      <c r="B1" s="4" t="s">
        <v>140</v>
      </c>
      <c r="C1" s="4" t="s">
        <v>145</v>
      </c>
      <c r="D1" s="4" t="s">
        <v>148</v>
      </c>
      <c r="E1" s="4" t="s">
        <v>151</v>
      </c>
      <c r="F1" s="4" t="s">
        <v>154</v>
      </c>
      <c r="G1" s="4" t="s">
        <v>156</v>
      </c>
      <c r="H1" s="4" t="s">
        <v>159</v>
      </c>
      <c r="I1" s="4" t="s">
        <v>161</v>
      </c>
      <c r="J1" s="4" t="s">
        <v>163</v>
      </c>
      <c r="K1" s="4" t="s">
        <v>164</v>
      </c>
      <c r="L1" s="4" t="s">
        <v>167</v>
      </c>
      <c r="M1" s="4"/>
      <c r="N1" s="4" t="s">
        <v>78</v>
      </c>
      <c r="O1" s="4" t="s">
        <v>84</v>
      </c>
      <c r="P1" s="4" t="s">
        <v>86</v>
      </c>
      <c r="Q1" s="4" t="s">
        <v>87</v>
      </c>
      <c r="R1" s="4" t="s">
        <v>89</v>
      </c>
      <c r="S1" s="4" t="s">
        <v>91</v>
      </c>
      <c r="T1" s="4" t="s">
        <v>93</v>
      </c>
      <c r="U1" s="4" t="s">
        <v>95</v>
      </c>
      <c r="V1" s="4" t="s">
        <v>97</v>
      </c>
      <c r="W1" s="4" t="s">
        <v>99</v>
      </c>
      <c r="X1" s="4" t="s">
        <v>102</v>
      </c>
      <c r="Y1" s="4" t="s">
        <v>104</v>
      </c>
      <c r="Z1" s="4" t="s">
        <v>106</v>
      </c>
      <c r="AA1" s="4" t="s">
        <v>108</v>
      </c>
      <c r="AB1" s="4" t="s">
        <v>109</v>
      </c>
      <c r="AC1" s="4" t="s">
        <v>112</v>
      </c>
      <c r="AD1" s="4" t="s">
        <v>115</v>
      </c>
      <c r="AE1" s="4" t="s">
        <v>117</v>
      </c>
      <c r="AF1" s="4"/>
      <c r="AG1" s="4" t="s">
        <v>119</v>
      </c>
      <c r="AH1" s="4" t="s">
        <v>121</v>
      </c>
      <c r="AI1" s="4" t="s">
        <v>122</v>
      </c>
      <c r="AJ1" s="4" t="s">
        <v>123</v>
      </c>
      <c r="AK1" s="4" t="s">
        <v>125</v>
      </c>
      <c r="AL1" s="4" t="s">
        <v>127</v>
      </c>
      <c r="AM1" s="4" t="s">
        <v>129</v>
      </c>
      <c r="AN1" s="4" t="s">
        <v>131</v>
      </c>
      <c r="AO1" s="4" t="s">
        <v>133</v>
      </c>
      <c r="AP1" s="4" t="s">
        <v>135</v>
      </c>
      <c r="AQ1" s="4" t="s">
        <v>137</v>
      </c>
      <c r="AR1" s="4"/>
      <c r="AS1" s="4" t="s">
        <v>169</v>
      </c>
      <c r="AT1" s="4" t="s">
        <v>171</v>
      </c>
      <c r="AU1" s="4" t="s">
        <v>172</v>
      </c>
      <c r="AV1" s="4" t="s">
        <v>173</v>
      </c>
      <c r="AW1" s="4" t="s">
        <v>174</v>
      </c>
      <c r="AX1" s="4" t="s">
        <v>175</v>
      </c>
      <c r="AY1" s="4" t="s">
        <v>176</v>
      </c>
      <c r="AZ1" s="4" t="s">
        <v>177</v>
      </c>
      <c r="BA1" s="4" t="s">
        <v>178</v>
      </c>
      <c r="BB1" s="4" t="s">
        <v>179</v>
      </c>
      <c r="BC1" s="4" t="s">
        <v>180</v>
      </c>
      <c r="BD1" s="4" t="s">
        <v>181</v>
      </c>
      <c r="BE1" s="4"/>
      <c r="BF1" s="4" t="s">
        <v>217</v>
      </c>
      <c r="BG1" s="4" t="s">
        <v>220</v>
      </c>
      <c r="BH1" s="4" t="s">
        <v>221</v>
      </c>
      <c r="BI1" s="4" t="s">
        <v>223</v>
      </c>
      <c r="BJ1" s="4" t="s">
        <v>224</v>
      </c>
      <c r="BK1" s="4" t="s">
        <v>226</v>
      </c>
      <c r="BL1" s="4" t="s">
        <v>228</v>
      </c>
      <c r="BM1" s="4" t="s">
        <v>230</v>
      </c>
      <c r="BN1" s="4" t="s">
        <v>232</v>
      </c>
      <c r="BO1" s="4" t="s">
        <v>234</v>
      </c>
      <c r="BP1" s="4"/>
      <c r="BQ1" s="4" t="s">
        <v>206</v>
      </c>
      <c r="BR1" s="4" t="s">
        <v>208</v>
      </c>
      <c r="BS1" s="4" t="s">
        <v>209</v>
      </c>
      <c r="BT1" s="4" t="s">
        <v>210</v>
      </c>
      <c r="BU1" s="4" t="s">
        <v>211</v>
      </c>
      <c r="BV1" s="4" t="s">
        <v>212</v>
      </c>
      <c r="BW1" s="4" t="s">
        <v>213</v>
      </c>
      <c r="BX1" s="4" t="s">
        <v>214</v>
      </c>
      <c r="BY1" s="4" t="s">
        <v>215</v>
      </c>
      <c r="BZ1" s="4"/>
      <c r="CA1" s="4" t="s">
        <v>183</v>
      </c>
      <c r="CB1" s="4" t="s">
        <v>185</v>
      </c>
      <c r="CC1" s="4" t="s">
        <v>186</v>
      </c>
      <c r="CD1" s="4" t="s">
        <v>187</v>
      </c>
      <c r="CE1" s="4" t="s">
        <v>188</v>
      </c>
      <c r="CF1" s="4" t="s">
        <v>189</v>
      </c>
      <c r="CG1" s="4" t="s">
        <v>190</v>
      </c>
      <c r="CH1" s="4" t="s">
        <v>191</v>
      </c>
      <c r="CI1" s="4" t="s">
        <v>192</v>
      </c>
      <c r="CJ1" s="4" t="s">
        <v>193</v>
      </c>
      <c r="CK1" s="4"/>
      <c r="CL1" s="4" t="s">
        <v>195</v>
      </c>
      <c r="CM1" s="4" t="s">
        <v>197</v>
      </c>
      <c r="CN1" s="4" t="s">
        <v>198</v>
      </c>
      <c r="CO1" s="4" t="s">
        <v>199</v>
      </c>
      <c r="CP1" s="4" t="s">
        <v>200</v>
      </c>
      <c r="CQ1" s="4" t="s">
        <v>201</v>
      </c>
      <c r="CR1" s="4" t="s">
        <v>202</v>
      </c>
      <c r="CS1" s="4" t="s">
        <v>203</v>
      </c>
      <c r="CT1" s="4" t="s">
        <v>204</v>
      </c>
    </row>
    <row r="2" spans="1:105" s="65" customFormat="1" ht="39.950000000000003" customHeight="1" x14ac:dyDescent="0.25">
      <c r="B2" t="s">
        <v>726</v>
      </c>
      <c r="C2" t="s">
        <v>726</v>
      </c>
      <c r="D2" t="s">
        <v>726</v>
      </c>
      <c r="E2" t="s">
        <v>726</v>
      </c>
      <c r="F2" t="s">
        <v>726</v>
      </c>
      <c r="G2" t="s">
        <v>726</v>
      </c>
      <c r="H2" t="s">
        <v>726</v>
      </c>
      <c r="I2" t="s">
        <v>726</v>
      </c>
      <c r="J2" t="s">
        <v>726</v>
      </c>
      <c r="K2" t="s">
        <v>726</v>
      </c>
      <c r="L2" t="s">
        <v>726</v>
      </c>
      <c r="M2"/>
      <c r="N2" t="s">
        <v>737</v>
      </c>
      <c r="O2" t="s">
        <v>737</v>
      </c>
      <c r="P2" t="s">
        <v>737</v>
      </c>
      <c r="Q2" t="s">
        <v>737</v>
      </c>
      <c r="R2" t="s">
        <v>737</v>
      </c>
      <c r="S2" t="s">
        <v>737</v>
      </c>
      <c r="T2" t="s">
        <v>737</v>
      </c>
      <c r="U2" t="s">
        <v>737</v>
      </c>
      <c r="V2" t="s">
        <v>737</v>
      </c>
      <c r="W2" t="s">
        <v>737</v>
      </c>
      <c r="X2" t="s">
        <v>737</v>
      </c>
      <c r="Y2" t="s">
        <v>737</v>
      </c>
      <c r="Z2" t="s">
        <v>737</v>
      </c>
      <c r="AA2" t="s">
        <v>737</v>
      </c>
      <c r="AB2" t="s">
        <v>737</v>
      </c>
      <c r="AC2" t="s">
        <v>737</v>
      </c>
      <c r="AD2" t="s">
        <v>737</v>
      </c>
      <c r="AE2" t="s">
        <v>737</v>
      </c>
      <c r="AF2"/>
      <c r="AG2" t="s">
        <v>738</v>
      </c>
      <c r="AH2" t="s">
        <v>738</v>
      </c>
      <c r="AI2" t="s">
        <v>738</v>
      </c>
      <c r="AJ2" t="s">
        <v>738</v>
      </c>
      <c r="AK2" t="s">
        <v>738</v>
      </c>
      <c r="AL2" t="s">
        <v>738</v>
      </c>
      <c r="AM2" t="s">
        <v>738</v>
      </c>
      <c r="AN2" t="s">
        <v>738</v>
      </c>
      <c r="AO2" t="s">
        <v>738</v>
      </c>
      <c r="AP2" t="s">
        <v>738</v>
      </c>
      <c r="AQ2" t="s">
        <v>738</v>
      </c>
      <c r="AR2"/>
      <c r="AS2" t="s">
        <v>727</v>
      </c>
      <c r="AT2" t="s">
        <v>727</v>
      </c>
      <c r="AU2" t="s">
        <v>727</v>
      </c>
      <c r="AV2" t="s">
        <v>727</v>
      </c>
      <c r="AW2" t="s">
        <v>727</v>
      </c>
      <c r="AX2" t="s">
        <v>727</v>
      </c>
      <c r="AY2" t="s">
        <v>727</v>
      </c>
      <c r="AZ2" t="s">
        <v>727</v>
      </c>
      <c r="BA2" t="s">
        <v>727</v>
      </c>
      <c r="BB2" t="s">
        <v>727</v>
      </c>
      <c r="BC2" t="s">
        <v>727</v>
      </c>
      <c r="BD2" t="s">
        <v>727</v>
      </c>
      <c r="BE2"/>
      <c r="BF2" t="s">
        <v>729</v>
      </c>
      <c r="BG2" t="s">
        <v>729</v>
      </c>
      <c r="BH2" t="s">
        <v>729</v>
      </c>
      <c r="BI2" t="s">
        <v>729</v>
      </c>
      <c r="BJ2" t="s">
        <v>729</v>
      </c>
      <c r="BK2" t="s">
        <v>729</v>
      </c>
      <c r="BL2" t="s">
        <v>729</v>
      </c>
      <c r="BM2" t="s">
        <v>729</v>
      </c>
      <c r="BN2" t="s">
        <v>729</v>
      </c>
      <c r="BO2" t="s">
        <v>729</v>
      </c>
      <c r="BP2" s="68"/>
      <c r="BQ2" t="s">
        <v>728</v>
      </c>
      <c r="BR2" t="s">
        <v>728</v>
      </c>
      <c r="BS2" t="s">
        <v>728</v>
      </c>
      <c r="BT2" t="s">
        <v>728</v>
      </c>
      <c r="BU2" t="s">
        <v>728</v>
      </c>
      <c r="BV2" t="s">
        <v>728</v>
      </c>
      <c r="BW2" t="s">
        <v>728</v>
      </c>
      <c r="BX2" t="s">
        <v>728</v>
      </c>
      <c r="BY2" t="s">
        <v>728</v>
      </c>
      <c r="BZ2"/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/>
      <c r="CL2" t="s">
        <v>196</v>
      </c>
      <c r="CM2" t="s">
        <v>196</v>
      </c>
      <c r="CN2" t="s">
        <v>196</v>
      </c>
      <c r="CO2" t="s">
        <v>196</v>
      </c>
      <c r="CP2" t="s">
        <v>196</v>
      </c>
      <c r="CQ2" t="s">
        <v>196</v>
      </c>
      <c r="CR2" t="s">
        <v>196</v>
      </c>
      <c r="CS2" t="s">
        <v>196</v>
      </c>
      <c r="CT2" t="s">
        <v>196</v>
      </c>
      <c r="CZ2" t="s">
        <v>746</v>
      </c>
      <c r="DA2" t="s">
        <v>747</v>
      </c>
    </row>
    <row r="3" spans="1:105" s="65" customFormat="1" ht="39.950000000000003" customHeight="1" x14ac:dyDescent="0.25">
      <c r="A3" s="3" t="s">
        <v>13</v>
      </c>
      <c r="B3" s="65">
        <v>132</v>
      </c>
      <c r="C3" s="65">
        <v>135</v>
      </c>
      <c r="D3" s="65">
        <v>76</v>
      </c>
      <c r="E3" s="65">
        <v>127</v>
      </c>
      <c r="F3" s="65">
        <v>104</v>
      </c>
      <c r="G3" s="66"/>
      <c r="H3" s="65">
        <v>125</v>
      </c>
      <c r="I3" s="65">
        <v>128</v>
      </c>
      <c r="J3" s="65">
        <v>104</v>
      </c>
      <c r="K3" s="65">
        <v>97</v>
      </c>
      <c r="L3" s="65">
        <v>111</v>
      </c>
      <c r="M3" s="67"/>
      <c r="N3" s="65">
        <v>119</v>
      </c>
      <c r="O3" s="65">
        <v>128</v>
      </c>
      <c r="P3" s="65">
        <v>195</v>
      </c>
      <c r="Q3" s="65">
        <v>136</v>
      </c>
      <c r="R3" s="65">
        <v>226</v>
      </c>
      <c r="S3" s="65">
        <v>130</v>
      </c>
      <c r="T3" s="65">
        <v>175</v>
      </c>
      <c r="U3" s="65">
        <v>146</v>
      </c>
      <c r="V3" s="65">
        <v>66</v>
      </c>
      <c r="W3" s="65">
        <v>117</v>
      </c>
      <c r="X3" s="65">
        <v>100</v>
      </c>
      <c r="Y3" s="65">
        <v>92</v>
      </c>
      <c r="Z3" s="65">
        <v>255</v>
      </c>
      <c r="AA3" s="65">
        <v>249</v>
      </c>
      <c r="AB3" s="65">
        <v>125</v>
      </c>
      <c r="AC3" s="65">
        <v>240</v>
      </c>
      <c r="AD3" s="65">
        <v>117</v>
      </c>
      <c r="AE3" s="65">
        <v>230</v>
      </c>
      <c r="AF3" s="67"/>
      <c r="AG3" s="65">
        <v>276</v>
      </c>
      <c r="AH3" s="65">
        <v>26</v>
      </c>
      <c r="AI3" s="65">
        <v>104</v>
      </c>
      <c r="AJ3" s="65">
        <v>65</v>
      </c>
      <c r="AK3" s="65">
        <v>117</v>
      </c>
      <c r="AL3" s="65">
        <v>48</v>
      </c>
      <c r="AM3" s="65">
        <v>35</v>
      </c>
      <c r="AN3" s="65">
        <v>112</v>
      </c>
      <c r="AO3" s="65">
        <v>54</v>
      </c>
      <c r="AP3" s="65">
        <v>373</v>
      </c>
      <c r="AQ3" s="65">
        <v>325</v>
      </c>
      <c r="AR3" s="67"/>
      <c r="AS3" s="65">
        <v>102</v>
      </c>
      <c r="AT3" s="65">
        <v>54</v>
      </c>
      <c r="AU3" s="65">
        <v>136</v>
      </c>
      <c r="AV3" s="65">
        <v>72</v>
      </c>
      <c r="AW3" s="65">
        <v>67</v>
      </c>
      <c r="AX3" s="65">
        <v>161</v>
      </c>
      <c r="AY3" s="65">
        <v>63</v>
      </c>
      <c r="AZ3" s="65">
        <v>52</v>
      </c>
      <c r="BA3" s="65">
        <v>112</v>
      </c>
      <c r="BB3" s="65">
        <v>129</v>
      </c>
      <c r="BC3" s="65">
        <v>160</v>
      </c>
      <c r="BD3" s="65">
        <v>204</v>
      </c>
      <c r="BE3" s="67"/>
      <c r="BF3" s="65">
        <v>15</v>
      </c>
      <c r="BG3" s="65">
        <v>20</v>
      </c>
      <c r="BH3" s="65">
        <v>21</v>
      </c>
      <c r="BI3" s="65">
        <v>25</v>
      </c>
      <c r="BJ3" s="65">
        <v>19</v>
      </c>
      <c r="BK3" s="65">
        <v>28</v>
      </c>
      <c r="BL3" s="65">
        <v>28</v>
      </c>
      <c r="BM3" s="65">
        <v>22</v>
      </c>
      <c r="BN3" s="65">
        <v>26</v>
      </c>
      <c r="BO3" s="65">
        <v>18</v>
      </c>
      <c r="BP3" s="67"/>
      <c r="BQ3" s="65">
        <v>223</v>
      </c>
      <c r="BR3" s="65">
        <v>66</v>
      </c>
      <c r="BS3" s="65">
        <v>99</v>
      </c>
      <c r="BT3" s="65">
        <v>116</v>
      </c>
      <c r="BU3" s="65">
        <v>86</v>
      </c>
      <c r="BV3" s="65">
        <v>63</v>
      </c>
      <c r="BW3" s="65">
        <v>95</v>
      </c>
      <c r="BX3" s="65">
        <v>63</v>
      </c>
      <c r="BY3" s="65">
        <v>53</v>
      </c>
      <c r="BZ3" s="67"/>
      <c r="CA3" s="65">
        <v>55</v>
      </c>
      <c r="CB3" s="65">
        <v>55</v>
      </c>
      <c r="CC3" s="65">
        <v>89</v>
      </c>
      <c r="CD3" s="65">
        <v>123</v>
      </c>
      <c r="CE3" s="65">
        <v>42</v>
      </c>
      <c r="CF3" s="65">
        <v>39</v>
      </c>
      <c r="CG3" s="65">
        <v>54</v>
      </c>
      <c r="CH3" s="65">
        <v>54</v>
      </c>
      <c r="CI3" s="65">
        <v>33</v>
      </c>
      <c r="CJ3" s="65">
        <v>44</v>
      </c>
      <c r="CK3" s="67"/>
      <c r="CL3" s="65">
        <v>28</v>
      </c>
      <c r="CM3" s="65">
        <v>24</v>
      </c>
      <c r="CN3" s="65">
        <v>65</v>
      </c>
      <c r="CO3" s="65">
        <v>32</v>
      </c>
      <c r="CP3" s="65">
        <v>24</v>
      </c>
      <c r="CQ3" s="65">
        <v>28</v>
      </c>
      <c r="CR3" s="65">
        <v>34</v>
      </c>
      <c r="CS3" s="65">
        <v>37</v>
      </c>
      <c r="CT3" s="66"/>
      <c r="CZ3">
        <f>MIN(B3:CT3)</f>
        <v>15</v>
      </c>
      <c r="DA3">
        <f>MAX(B3:CT3)</f>
        <v>373</v>
      </c>
    </row>
    <row r="4" spans="1:105" s="65" customFormat="1" ht="39.950000000000003" customHeight="1" x14ac:dyDescent="0.25">
      <c r="A4" s="3" t="s">
        <v>14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7"/>
      <c r="N4" s="65">
        <v>55</v>
      </c>
      <c r="O4" s="65">
        <v>127</v>
      </c>
      <c r="P4" s="65">
        <v>44</v>
      </c>
      <c r="Q4" s="65">
        <v>78</v>
      </c>
      <c r="R4" s="65">
        <v>55</v>
      </c>
      <c r="S4" s="65">
        <v>67</v>
      </c>
      <c r="T4" s="65">
        <v>57</v>
      </c>
      <c r="U4" s="65">
        <v>44</v>
      </c>
      <c r="V4" s="65">
        <v>13</v>
      </c>
      <c r="W4" s="65">
        <v>58</v>
      </c>
      <c r="X4" s="65">
        <v>78</v>
      </c>
      <c r="Y4" s="65">
        <v>45</v>
      </c>
      <c r="Z4" s="65">
        <v>61</v>
      </c>
      <c r="AA4" s="65">
        <v>32</v>
      </c>
      <c r="AB4" s="65">
        <v>26</v>
      </c>
      <c r="AC4" s="65">
        <v>90</v>
      </c>
      <c r="AD4" s="65">
        <v>14</v>
      </c>
      <c r="AE4" s="65">
        <v>2</v>
      </c>
      <c r="AF4" s="67"/>
      <c r="AG4" s="65">
        <v>69</v>
      </c>
      <c r="AH4" s="65">
        <v>8</v>
      </c>
      <c r="AI4" s="65">
        <v>36</v>
      </c>
      <c r="AJ4" s="65">
        <v>20</v>
      </c>
      <c r="AK4" s="65">
        <v>31</v>
      </c>
      <c r="AL4" s="65">
        <v>33</v>
      </c>
      <c r="AM4" s="65">
        <v>30</v>
      </c>
      <c r="AN4" s="65">
        <v>47</v>
      </c>
      <c r="AO4" s="65">
        <v>43</v>
      </c>
      <c r="AP4" s="65">
        <v>36</v>
      </c>
      <c r="AQ4" s="65">
        <v>59</v>
      </c>
      <c r="AR4" s="67"/>
      <c r="AS4" s="65">
        <v>64</v>
      </c>
      <c r="AT4" s="65">
        <v>51</v>
      </c>
      <c r="AU4" s="65">
        <v>92</v>
      </c>
      <c r="AV4" s="65">
        <v>92</v>
      </c>
      <c r="AW4" s="65">
        <v>61</v>
      </c>
      <c r="AX4" s="65">
        <v>89</v>
      </c>
      <c r="AY4" s="65">
        <v>48</v>
      </c>
      <c r="AZ4" s="65">
        <v>33</v>
      </c>
      <c r="BA4" s="65">
        <v>90</v>
      </c>
      <c r="BB4" s="65">
        <v>64</v>
      </c>
      <c r="BC4" s="65">
        <v>76</v>
      </c>
      <c r="BD4" s="65">
        <v>84</v>
      </c>
      <c r="BE4" s="67"/>
      <c r="BF4" s="65">
        <v>11</v>
      </c>
      <c r="BG4" s="65">
        <v>11</v>
      </c>
      <c r="BH4" s="65">
        <v>24</v>
      </c>
      <c r="BI4" s="65">
        <v>33</v>
      </c>
      <c r="BJ4" s="65">
        <v>26</v>
      </c>
      <c r="BK4" s="65">
        <v>50</v>
      </c>
      <c r="BL4" s="65">
        <v>38</v>
      </c>
      <c r="BM4" s="65">
        <v>26</v>
      </c>
      <c r="BN4" s="65">
        <v>19</v>
      </c>
      <c r="BO4" s="65">
        <v>16</v>
      </c>
      <c r="BP4" s="67"/>
      <c r="BQ4" s="65">
        <v>276</v>
      </c>
      <c r="BR4" s="65">
        <v>124</v>
      </c>
      <c r="BS4" s="65">
        <v>155</v>
      </c>
      <c r="BT4" s="65">
        <v>156</v>
      </c>
      <c r="BU4" s="65">
        <v>99</v>
      </c>
      <c r="BV4" s="65">
        <v>113</v>
      </c>
      <c r="BW4" s="65">
        <v>103</v>
      </c>
      <c r="BX4" s="65">
        <v>56</v>
      </c>
      <c r="BY4" s="65">
        <v>33</v>
      </c>
      <c r="BZ4" s="67"/>
      <c r="CA4" s="65">
        <v>66</v>
      </c>
      <c r="CB4" s="65">
        <v>85</v>
      </c>
      <c r="CC4" s="65">
        <v>110</v>
      </c>
      <c r="CD4" s="65">
        <v>141</v>
      </c>
      <c r="CE4" s="65">
        <v>40</v>
      </c>
      <c r="CF4" s="65">
        <v>88</v>
      </c>
      <c r="CG4" s="65">
        <v>122</v>
      </c>
      <c r="CH4" s="65">
        <v>85</v>
      </c>
      <c r="CI4" s="65">
        <v>41</v>
      </c>
      <c r="CJ4" s="65">
        <v>73</v>
      </c>
      <c r="CK4" s="67"/>
      <c r="CL4" s="65">
        <v>40</v>
      </c>
      <c r="CM4" s="65">
        <v>52</v>
      </c>
      <c r="CN4" s="65">
        <v>117</v>
      </c>
      <c r="CO4" s="65">
        <v>29</v>
      </c>
      <c r="CP4" s="65">
        <v>40</v>
      </c>
      <c r="CQ4" s="65">
        <v>23</v>
      </c>
      <c r="CR4" s="65">
        <v>37</v>
      </c>
      <c r="CS4" s="65">
        <v>42</v>
      </c>
      <c r="CT4" s="66"/>
      <c r="CZ4">
        <f t="shared" ref="CZ4:CZ11" si="0">MIN(B4:CT4)</f>
        <v>2</v>
      </c>
      <c r="DA4">
        <f t="shared" ref="DA4:DA11" si="1">MAX(B4:CT4)</f>
        <v>276</v>
      </c>
    </row>
    <row r="5" spans="1:105" s="65" customFormat="1" ht="39.950000000000003" customHeight="1" x14ac:dyDescent="0.25">
      <c r="A5" s="3" t="s">
        <v>247</v>
      </c>
      <c r="B5" s="66"/>
      <c r="C5" s="65">
        <v>2</v>
      </c>
      <c r="D5" s="65">
        <v>3.7</v>
      </c>
      <c r="E5" s="65">
        <v>2.8</v>
      </c>
      <c r="F5" s="66"/>
      <c r="G5" s="65">
        <v>2.37</v>
      </c>
      <c r="H5" s="65">
        <v>3.6</v>
      </c>
      <c r="I5" s="65">
        <v>1.9</v>
      </c>
      <c r="J5" s="65">
        <v>1.5</v>
      </c>
      <c r="K5" s="65">
        <v>2.0499999999999998</v>
      </c>
      <c r="L5" s="65">
        <v>1.9</v>
      </c>
      <c r="M5" s="67"/>
      <c r="N5" s="65">
        <v>2.23</v>
      </c>
      <c r="O5" s="65">
        <v>1.56</v>
      </c>
      <c r="P5" s="65">
        <v>2.11</v>
      </c>
      <c r="Q5" s="65">
        <v>1.62</v>
      </c>
      <c r="R5" s="65">
        <v>1.67</v>
      </c>
      <c r="S5" s="65">
        <v>1.76</v>
      </c>
      <c r="T5" s="65">
        <v>1.59</v>
      </c>
      <c r="U5" s="65">
        <v>1.74</v>
      </c>
      <c r="V5" s="65">
        <v>1.56</v>
      </c>
      <c r="W5" s="65">
        <v>1.42</v>
      </c>
      <c r="X5" s="65">
        <v>1.49</v>
      </c>
      <c r="Y5" s="65">
        <v>3.32</v>
      </c>
      <c r="Z5" s="65">
        <v>1.46</v>
      </c>
      <c r="AA5" s="65">
        <v>1.68</v>
      </c>
      <c r="AB5" s="65">
        <v>2.2000000000000002</v>
      </c>
      <c r="AC5" s="65">
        <v>1.35</v>
      </c>
      <c r="AD5" s="65">
        <v>1.79</v>
      </c>
      <c r="AE5" s="65">
        <v>1.82</v>
      </c>
      <c r="AF5" s="67"/>
      <c r="AG5" s="65">
        <v>1.18</v>
      </c>
      <c r="AH5" s="65">
        <v>1.25</v>
      </c>
      <c r="AI5" s="65">
        <v>1.42</v>
      </c>
      <c r="AJ5" s="65">
        <v>1.44</v>
      </c>
      <c r="AK5" s="65">
        <v>1.45</v>
      </c>
      <c r="AL5" s="65">
        <v>1.06</v>
      </c>
      <c r="AM5" s="65">
        <v>0.99</v>
      </c>
      <c r="AN5" s="65">
        <v>1.68</v>
      </c>
      <c r="AO5" s="65">
        <v>1.23</v>
      </c>
      <c r="AP5" s="65">
        <v>1.1299999999999999</v>
      </c>
      <c r="AQ5" s="65">
        <v>1.27</v>
      </c>
      <c r="AR5" s="67"/>
      <c r="AS5" s="65">
        <v>0.99</v>
      </c>
      <c r="AT5" s="65">
        <v>0.95</v>
      </c>
      <c r="AU5" s="65">
        <v>0.81</v>
      </c>
      <c r="AV5" s="65">
        <v>0.97000002861022949</v>
      </c>
      <c r="AW5" s="65">
        <v>1.0299999713897705</v>
      </c>
      <c r="AX5" s="65">
        <v>1.0099999904632568</v>
      </c>
      <c r="AY5" s="65">
        <v>1.0199999809265137</v>
      </c>
      <c r="AZ5" s="65">
        <v>1.2000000476837158</v>
      </c>
      <c r="BA5" s="65">
        <v>0.89999997615814209</v>
      </c>
      <c r="BB5" s="65">
        <v>0.89999997615814209</v>
      </c>
      <c r="BC5" s="65">
        <v>1.0199999809265137</v>
      </c>
      <c r="BD5" s="65">
        <v>0.99000000953674316</v>
      </c>
      <c r="BE5" s="67"/>
      <c r="BF5" s="65">
        <v>1.07</v>
      </c>
      <c r="BG5" s="65">
        <v>1.05</v>
      </c>
      <c r="BH5" s="65">
        <v>1.02</v>
      </c>
      <c r="BI5" s="65">
        <v>0.89</v>
      </c>
      <c r="BJ5" s="65">
        <v>0.98599999999999999</v>
      </c>
      <c r="BK5" s="65">
        <v>1.04</v>
      </c>
      <c r="BL5" s="65">
        <v>0.99</v>
      </c>
      <c r="BM5" s="65">
        <v>1.07</v>
      </c>
      <c r="BN5" s="65">
        <v>1.03</v>
      </c>
      <c r="BO5" s="65">
        <v>0.99</v>
      </c>
      <c r="BP5" s="67"/>
      <c r="BQ5" s="66"/>
      <c r="BR5" s="66"/>
      <c r="BS5" s="66"/>
      <c r="BT5" s="66"/>
      <c r="BU5" s="66"/>
      <c r="BV5" s="66"/>
      <c r="BW5" s="66"/>
      <c r="BX5" s="66"/>
      <c r="BY5" s="66"/>
      <c r="BZ5" s="67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7"/>
      <c r="CL5" s="66"/>
      <c r="CM5" s="66"/>
      <c r="CN5" s="66"/>
      <c r="CO5" s="66"/>
      <c r="CP5" s="66"/>
      <c r="CQ5" s="66"/>
      <c r="CR5" s="66"/>
      <c r="CS5" s="66"/>
      <c r="CT5" s="66"/>
      <c r="CZ5">
        <f t="shared" si="0"/>
        <v>0.81</v>
      </c>
      <c r="DA5">
        <f t="shared" si="1"/>
        <v>3.7</v>
      </c>
    </row>
    <row r="6" spans="1:105" s="65" customFormat="1" ht="39.950000000000003" customHeight="1" x14ac:dyDescent="0.25">
      <c r="A6" s="3" t="s">
        <v>748</v>
      </c>
      <c r="B6" s="65">
        <v>13.9</v>
      </c>
      <c r="C6" s="65">
        <v>30.6</v>
      </c>
      <c r="D6" s="65">
        <v>29.1</v>
      </c>
      <c r="E6" s="65">
        <v>18.2</v>
      </c>
      <c r="F6" s="65">
        <v>21.3</v>
      </c>
      <c r="G6" s="65">
        <v>12.8</v>
      </c>
      <c r="H6" s="65">
        <v>25.6</v>
      </c>
      <c r="I6" s="65">
        <v>39.6</v>
      </c>
      <c r="J6" s="65">
        <v>12</v>
      </c>
      <c r="K6" s="65">
        <v>19.5</v>
      </c>
      <c r="L6" s="65">
        <v>16.399999999999999</v>
      </c>
      <c r="M6" s="67"/>
      <c r="N6" s="65">
        <v>25</v>
      </c>
      <c r="O6" s="65">
        <v>16.399999999999999</v>
      </c>
      <c r="P6" s="65">
        <v>20.5</v>
      </c>
      <c r="Q6" s="65">
        <v>35.799999999999997</v>
      </c>
      <c r="R6" s="65">
        <v>12.7</v>
      </c>
      <c r="S6" s="65">
        <v>10</v>
      </c>
      <c r="T6" s="65">
        <v>26.6</v>
      </c>
      <c r="U6" s="65">
        <v>21</v>
      </c>
      <c r="V6" s="65">
        <v>5.7</v>
      </c>
      <c r="W6" s="65">
        <v>19.600000000000001</v>
      </c>
      <c r="X6" s="65">
        <v>18.399999999999999</v>
      </c>
      <c r="Y6" s="65">
        <v>26.8</v>
      </c>
      <c r="Z6" s="65">
        <v>13.7</v>
      </c>
      <c r="AA6" s="65">
        <v>13.9</v>
      </c>
      <c r="AB6" s="65">
        <v>30.8</v>
      </c>
      <c r="AC6" s="65">
        <v>10.5</v>
      </c>
      <c r="AD6" s="65">
        <v>11.2</v>
      </c>
      <c r="AE6" s="65">
        <v>31.5</v>
      </c>
      <c r="AF6" s="67"/>
      <c r="AG6" s="65">
        <v>2.7</v>
      </c>
      <c r="AH6" s="65">
        <v>1.7</v>
      </c>
      <c r="AI6" s="65">
        <v>0.9</v>
      </c>
      <c r="AJ6" s="65">
        <v>2.6</v>
      </c>
      <c r="AK6" s="65">
        <v>1.4</v>
      </c>
      <c r="AL6" s="65">
        <v>0.9</v>
      </c>
      <c r="AM6" s="65">
        <v>0.7</v>
      </c>
      <c r="AN6" s="65">
        <v>4.8</v>
      </c>
      <c r="AO6" s="65">
        <v>0.8</v>
      </c>
      <c r="AP6" s="65">
        <v>3.8</v>
      </c>
      <c r="AQ6" s="65">
        <v>4.4000000000000004</v>
      </c>
      <c r="AR6" s="67"/>
      <c r="AS6" s="65">
        <v>1</v>
      </c>
      <c r="AT6" s="65">
        <v>0.4</v>
      </c>
      <c r="AU6" s="65">
        <v>0.7</v>
      </c>
      <c r="AV6" s="65">
        <v>1.2999999523162842</v>
      </c>
      <c r="AW6" s="65">
        <v>1.5</v>
      </c>
      <c r="AX6" s="65">
        <v>1.7000000476837158</v>
      </c>
      <c r="AY6" s="65">
        <v>0.40000000596046448</v>
      </c>
      <c r="AZ6" s="65">
        <v>1.2000000476837158</v>
      </c>
      <c r="BA6" s="65">
        <v>1.2000000476837158</v>
      </c>
      <c r="BB6" s="65">
        <v>1.5</v>
      </c>
      <c r="BC6" s="65">
        <v>0.80000001192092896</v>
      </c>
      <c r="BD6" s="65">
        <v>1.2000000476837158</v>
      </c>
      <c r="BE6" s="67"/>
      <c r="BF6" s="65">
        <v>0.5</v>
      </c>
      <c r="BG6" s="65">
        <v>0.6</v>
      </c>
      <c r="BH6" s="65">
        <v>0.7</v>
      </c>
      <c r="BI6" s="65">
        <v>0.5</v>
      </c>
      <c r="BJ6" s="65">
        <v>0.4</v>
      </c>
      <c r="BK6" s="65">
        <v>0.6</v>
      </c>
      <c r="BL6" s="65">
        <v>0.6</v>
      </c>
      <c r="BM6" s="65">
        <v>0.8</v>
      </c>
      <c r="BN6" s="65">
        <v>0.7</v>
      </c>
      <c r="BO6" s="65">
        <v>0.5</v>
      </c>
      <c r="BP6" s="67"/>
      <c r="BQ6" s="65">
        <v>1.8</v>
      </c>
      <c r="BR6" s="65">
        <v>1.5</v>
      </c>
      <c r="BS6" s="65">
        <v>1.1000000000000001</v>
      </c>
      <c r="BT6" s="65">
        <v>0.8</v>
      </c>
      <c r="BU6" s="65">
        <v>1.1000000000000001</v>
      </c>
      <c r="BV6" s="65">
        <v>0.6</v>
      </c>
      <c r="BW6" s="65">
        <v>0.7</v>
      </c>
      <c r="BX6" s="65">
        <v>0.8</v>
      </c>
      <c r="BY6" s="65">
        <v>1.9</v>
      </c>
      <c r="BZ6" s="67"/>
      <c r="CA6" s="65">
        <v>0.9</v>
      </c>
      <c r="CB6" s="65">
        <v>1.7</v>
      </c>
      <c r="CC6" s="65">
        <v>0.8</v>
      </c>
      <c r="CD6" s="65">
        <v>1</v>
      </c>
      <c r="CE6" s="65">
        <v>0.6</v>
      </c>
      <c r="CF6" s="65">
        <v>0.6</v>
      </c>
      <c r="CG6" s="65">
        <v>0.6</v>
      </c>
      <c r="CH6" s="65">
        <v>0.7</v>
      </c>
      <c r="CI6" s="65">
        <v>1.4</v>
      </c>
      <c r="CJ6" s="65">
        <v>0.6</v>
      </c>
      <c r="CK6" s="67"/>
      <c r="CL6" s="65">
        <v>0.8</v>
      </c>
      <c r="CM6" s="65">
        <v>0.4</v>
      </c>
      <c r="CN6" s="65">
        <v>0.63</v>
      </c>
      <c r="CO6" s="65">
        <v>0.9</v>
      </c>
      <c r="CP6" s="65">
        <v>0.5</v>
      </c>
      <c r="CQ6" s="65">
        <v>0.2</v>
      </c>
      <c r="CR6" s="65">
        <v>0.4</v>
      </c>
      <c r="CS6" s="65">
        <v>0.7</v>
      </c>
      <c r="CT6" s="66"/>
      <c r="CZ6">
        <f t="shared" si="0"/>
        <v>0.2</v>
      </c>
      <c r="DA6">
        <f t="shared" si="1"/>
        <v>39.6</v>
      </c>
    </row>
    <row r="7" spans="1:105" s="65" customFormat="1" ht="39.950000000000003" customHeight="1" x14ac:dyDescent="0.25">
      <c r="A7" s="3" t="s">
        <v>22</v>
      </c>
      <c r="B7" s="65">
        <v>23</v>
      </c>
      <c r="C7" s="65">
        <v>22.5</v>
      </c>
      <c r="D7" s="65">
        <v>23</v>
      </c>
      <c r="E7" s="65">
        <v>14.3</v>
      </c>
      <c r="F7" s="66"/>
      <c r="G7" s="65">
        <v>20</v>
      </c>
      <c r="H7" s="65">
        <v>40</v>
      </c>
      <c r="I7" s="65">
        <v>34</v>
      </c>
      <c r="J7" s="65">
        <v>26.4</v>
      </c>
      <c r="K7" s="65">
        <v>27</v>
      </c>
      <c r="L7" s="65">
        <v>23</v>
      </c>
      <c r="M7" s="67"/>
      <c r="N7" s="65">
        <v>22</v>
      </c>
      <c r="O7" s="65">
        <v>22</v>
      </c>
      <c r="P7" s="65">
        <v>32</v>
      </c>
      <c r="Q7" s="65">
        <v>29</v>
      </c>
      <c r="R7" s="65">
        <v>24</v>
      </c>
      <c r="S7" s="65">
        <v>29</v>
      </c>
      <c r="T7" s="65">
        <v>32</v>
      </c>
      <c r="U7" s="65">
        <v>23</v>
      </c>
      <c r="V7" s="65">
        <v>25</v>
      </c>
      <c r="W7" s="65">
        <v>33</v>
      </c>
      <c r="X7" s="65">
        <v>30</v>
      </c>
      <c r="Y7" s="65">
        <v>21</v>
      </c>
      <c r="Z7" s="65">
        <v>25</v>
      </c>
      <c r="AA7" s="65">
        <v>26</v>
      </c>
      <c r="AB7" s="65">
        <v>30</v>
      </c>
      <c r="AC7" s="65">
        <v>21</v>
      </c>
      <c r="AD7" s="65">
        <v>23</v>
      </c>
      <c r="AE7" s="65">
        <v>23</v>
      </c>
      <c r="AF7" s="67"/>
      <c r="AG7" s="65">
        <v>24</v>
      </c>
      <c r="AH7" s="65">
        <v>29</v>
      </c>
      <c r="AI7" s="65">
        <v>32</v>
      </c>
      <c r="AJ7" s="65">
        <v>23</v>
      </c>
      <c r="AK7" s="65">
        <v>29</v>
      </c>
      <c r="AL7" s="65">
        <v>32</v>
      </c>
      <c r="AM7" s="65">
        <v>41</v>
      </c>
      <c r="AN7" s="65">
        <v>37</v>
      </c>
      <c r="AO7" s="65">
        <v>36</v>
      </c>
      <c r="AP7" s="65">
        <v>39</v>
      </c>
      <c r="AQ7" s="65">
        <v>35</v>
      </c>
      <c r="AR7" s="67"/>
      <c r="AS7" s="65">
        <v>52.6</v>
      </c>
      <c r="AT7" s="66"/>
      <c r="AU7" s="66"/>
      <c r="AV7" s="65">
        <v>43</v>
      </c>
      <c r="AW7" s="65">
        <v>40</v>
      </c>
      <c r="AX7" s="65">
        <v>40.9</v>
      </c>
      <c r="AY7" s="65">
        <v>46.9</v>
      </c>
      <c r="AZ7" s="65">
        <v>41.9</v>
      </c>
      <c r="BA7" s="65">
        <v>46.9</v>
      </c>
      <c r="BB7" s="65">
        <v>45.9</v>
      </c>
      <c r="BC7" s="65">
        <v>45</v>
      </c>
      <c r="BD7" s="65">
        <v>45</v>
      </c>
      <c r="BE7" s="67"/>
      <c r="BF7" s="65">
        <v>38</v>
      </c>
      <c r="BG7" s="65">
        <v>44</v>
      </c>
      <c r="BH7" s="65">
        <v>46</v>
      </c>
      <c r="BI7" s="65">
        <v>46</v>
      </c>
      <c r="BJ7" s="65">
        <v>46</v>
      </c>
      <c r="BK7" s="65">
        <v>45</v>
      </c>
      <c r="BL7" s="65">
        <v>46</v>
      </c>
      <c r="BM7" s="65">
        <v>50</v>
      </c>
      <c r="BN7" s="65">
        <v>46</v>
      </c>
      <c r="BO7" s="65">
        <v>41</v>
      </c>
      <c r="BP7" s="67"/>
      <c r="BQ7" s="66"/>
      <c r="BR7" s="65">
        <v>41</v>
      </c>
      <c r="BS7" s="65">
        <v>41</v>
      </c>
      <c r="BT7" s="65">
        <v>47</v>
      </c>
      <c r="BU7" s="66"/>
      <c r="BV7" s="65">
        <v>45</v>
      </c>
      <c r="BW7" s="65">
        <v>45</v>
      </c>
      <c r="BX7" s="65">
        <v>39</v>
      </c>
      <c r="BY7" s="65">
        <v>40</v>
      </c>
      <c r="BZ7" s="67"/>
      <c r="CA7" s="65">
        <v>46</v>
      </c>
      <c r="CB7" s="65">
        <v>47</v>
      </c>
      <c r="CC7" s="65">
        <v>41</v>
      </c>
      <c r="CD7" s="65">
        <v>39</v>
      </c>
      <c r="CE7" s="66"/>
      <c r="CF7" s="65">
        <v>48</v>
      </c>
      <c r="CG7" s="66"/>
      <c r="CH7" s="65">
        <v>44</v>
      </c>
      <c r="CI7" s="65">
        <v>44</v>
      </c>
      <c r="CJ7" s="65">
        <v>44</v>
      </c>
      <c r="CK7" s="67"/>
      <c r="CL7" s="65">
        <v>45</v>
      </c>
      <c r="CM7" s="65">
        <v>46</v>
      </c>
      <c r="CN7" s="66"/>
      <c r="CO7" s="65">
        <v>45</v>
      </c>
      <c r="CP7" s="65">
        <v>47</v>
      </c>
      <c r="CQ7" s="65">
        <v>45</v>
      </c>
      <c r="CR7" s="65">
        <v>29</v>
      </c>
      <c r="CS7" s="65">
        <v>44</v>
      </c>
      <c r="CT7" s="66"/>
      <c r="CZ7">
        <f t="shared" si="0"/>
        <v>14.3</v>
      </c>
      <c r="DA7">
        <f t="shared" si="1"/>
        <v>52.6</v>
      </c>
    </row>
    <row r="8" spans="1:105" s="67" customFormat="1" ht="9.9499999999999993" customHeight="1" x14ac:dyDescent="0.25">
      <c r="A8" s="3"/>
      <c r="CZ8"/>
      <c r="DA8"/>
    </row>
    <row r="9" spans="1:105" s="65" customFormat="1" ht="39.950000000000003" customHeight="1" x14ac:dyDescent="0.25">
      <c r="A9" s="3" t="s">
        <v>749</v>
      </c>
      <c r="B9" s="65">
        <v>10</v>
      </c>
      <c r="C9" s="65">
        <v>12</v>
      </c>
      <c r="D9" s="65">
        <v>13</v>
      </c>
      <c r="E9" s="65">
        <v>13</v>
      </c>
      <c r="F9" s="65">
        <v>12</v>
      </c>
      <c r="G9" s="65">
        <v>13</v>
      </c>
      <c r="H9" s="65">
        <v>9</v>
      </c>
      <c r="I9" s="65">
        <v>12</v>
      </c>
      <c r="J9" s="65">
        <v>12</v>
      </c>
      <c r="K9" s="65">
        <v>11</v>
      </c>
      <c r="L9" s="65">
        <v>14</v>
      </c>
      <c r="M9" s="67"/>
      <c r="N9" s="65">
        <v>11</v>
      </c>
      <c r="O9" s="65">
        <v>9</v>
      </c>
      <c r="P9" s="65">
        <v>9</v>
      </c>
      <c r="Q9" s="65">
        <v>9</v>
      </c>
      <c r="R9" s="65">
        <v>12</v>
      </c>
      <c r="S9" s="65">
        <v>10</v>
      </c>
      <c r="T9" s="65">
        <v>10</v>
      </c>
      <c r="U9" s="65">
        <v>11</v>
      </c>
      <c r="V9" s="65">
        <v>11</v>
      </c>
      <c r="W9" s="65">
        <v>9</v>
      </c>
      <c r="X9" s="65">
        <v>9</v>
      </c>
      <c r="Y9" s="65">
        <v>13</v>
      </c>
      <c r="Z9" s="65">
        <v>9</v>
      </c>
      <c r="AA9" s="65">
        <v>12</v>
      </c>
      <c r="AB9" s="65">
        <v>12</v>
      </c>
      <c r="AC9" s="65">
        <v>12</v>
      </c>
      <c r="AD9" s="65">
        <v>11</v>
      </c>
      <c r="AE9" s="65">
        <v>11</v>
      </c>
      <c r="AF9" s="67"/>
      <c r="AG9" s="65">
        <v>9</v>
      </c>
      <c r="AH9" s="65">
        <v>6</v>
      </c>
      <c r="AI9" s="65">
        <v>7</v>
      </c>
      <c r="AJ9" s="65">
        <v>9</v>
      </c>
      <c r="AK9" s="65">
        <v>7</v>
      </c>
      <c r="AL9" s="65">
        <v>6</v>
      </c>
      <c r="AM9" s="65">
        <v>5</v>
      </c>
      <c r="AN9" s="65">
        <v>9</v>
      </c>
      <c r="AO9" s="65">
        <v>5</v>
      </c>
      <c r="AP9" s="65">
        <v>7</v>
      </c>
      <c r="AQ9" s="65">
        <v>8</v>
      </c>
      <c r="AR9" s="67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7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7"/>
      <c r="CL9" s="66"/>
      <c r="CM9" s="66"/>
      <c r="CN9" s="66"/>
      <c r="CO9" s="66"/>
      <c r="CP9" s="66"/>
      <c r="CQ9" s="66"/>
      <c r="CR9" s="66"/>
      <c r="CS9" s="66"/>
      <c r="CT9" s="66"/>
      <c r="CZ9">
        <f t="shared" si="0"/>
        <v>5</v>
      </c>
      <c r="DA9">
        <f t="shared" si="1"/>
        <v>14</v>
      </c>
    </row>
    <row r="10" spans="1:105" s="65" customFormat="1" ht="39.950000000000003" customHeight="1" x14ac:dyDescent="0.25">
      <c r="A10" s="3" t="s">
        <v>47</v>
      </c>
      <c r="B10" s="65">
        <v>19.210509823634517</v>
      </c>
      <c r="C10" s="65">
        <v>18.112933852313212</v>
      </c>
      <c r="D10" s="65">
        <v>40.925058267532897</v>
      </c>
      <c r="E10" s="65">
        <v>33.427045829943452</v>
      </c>
      <c r="F10" s="65">
        <v>20.937930784093659</v>
      </c>
      <c r="G10" s="65">
        <v>18.142242183011874</v>
      </c>
      <c r="H10" s="65">
        <v>17.989180541711306</v>
      </c>
      <c r="I10" s="65">
        <v>18.102883026164079</v>
      </c>
      <c r="J10" s="66"/>
      <c r="K10" s="65">
        <v>15.47555512756955</v>
      </c>
      <c r="L10" s="66"/>
      <c r="M10" s="67"/>
      <c r="N10" s="65">
        <v>28</v>
      </c>
      <c r="O10" s="65">
        <v>22</v>
      </c>
      <c r="P10" s="65">
        <v>26</v>
      </c>
      <c r="Q10" s="65">
        <v>27</v>
      </c>
      <c r="R10" s="65">
        <v>24</v>
      </c>
      <c r="S10" s="65">
        <v>21</v>
      </c>
      <c r="T10" s="65">
        <v>24</v>
      </c>
      <c r="U10" s="65">
        <v>24</v>
      </c>
      <c r="V10" s="65">
        <v>18</v>
      </c>
      <c r="W10" s="65">
        <v>22</v>
      </c>
      <c r="X10" s="65">
        <v>32</v>
      </c>
      <c r="Y10" s="65">
        <v>33</v>
      </c>
      <c r="Z10" s="65">
        <v>24</v>
      </c>
      <c r="AA10" s="65">
        <v>22</v>
      </c>
      <c r="AB10" s="65">
        <v>41</v>
      </c>
      <c r="AC10" s="65">
        <v>21</v>
      </c>
      <c r="AD10" s="65">
        <v>22</v>
      </c>
      <c r="AE10" s="65">
        <v>29</v>
      </c>
      <c r="AF10" s="67"/>
      <c r="AG10" s="65">
        <v>12</v>
      </c>
      <c r="AH10" s="65">
        <v>11</v>
      </c>
      <c r="AI10" s="65">
        <v>10</v>
      </c>
      <c r="AJ10" s="65">
        <v>14</v>
      </c>
      <c r="AK10" s="65">
        <v>12</v>
      </c>
      <c r="AL10" s="65">
        <v>7</v>
      </c>
      <c r="AM10" s="65">
        <v>6</v>
      </c>
      <c r="AN10" s="65">
        <v>18</v>
      </c>
      <c r="AO10" s="65">
        <v>19</v>
      </c>
      <c r="AP10" s="65">
        <v>13</v>
      </c>
      <c r="AQ10" s="65">
        <v>15</v>
      </c>
      <c r="AR10" s="67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7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7"/>
      <c r="CL10" s="66"/>
      <c r="CM10" s="66"/>
      <c r="CN10" s="66"/>
      <c r="CO10" s="66"/>
      <c r="CP10" s="66"/>
      <c r="CQ10" s="66"/>
      <c r="CR10" s="66"/>
      <c r="CS10" s="66"/>
      <c r="CT10" s="66"/>
      <c r="CZ10">
        <f t="shared" si="0"/>
        <v>6</v>
      </c>
      <c r="DA10">
        <f t="shared" si="1"/>
        <v>41</v>
      </c>
    </row>
    <row r="11" spans="1:105" ht="39.950000000000003" customHeight="1" x14ac:dyDescent="0.25">
      <c r="A11" s="3" t="s">
        <v>720</v>
      </c>
      <c r="B11" s="65">
        <v>7.0890000000000004</v>
      </c>
      <c r="C11" s="65">
        <v>8.822000000000001</v>
      </c>
      <c r="D11" s="65">
        <v>10.118</v>
      </c>
      <c r="E11" s="65">
        <v>8.7760000000000016</v>
      </c>
      <c r="F11" s="65">
        <v>9.48</v>
      </c>
      <c r="G11" s="65">
        <v>7.2070000000000007</v>
      </c>
      <c r="H11" s="65">
        <v>6.5420000000000007</v>
      </c>
      <c r="I11" s="65">
        <v>7.56</v>
      </c>
      <c r="J11" s="66"/>
      <c r="K11" s="65">
        <v>8.84</v>
      </c>
      <c r="L11" s="66"/>
      <c r="M11" s="67"/>
      <c r="N11" s="65">
        <v>7.84</v>
      </c>
      <c r="O11" s="65">
        <v>7.04</v>
      </c>
      <c r="P11" s="65">
        <v>8.34</v>
      </c>
      <c r="Q11" s="65">
        <v>11.7</v>
      </c>
      <c r="R11" s="65">
        <v>8.3800000000000008</v>
      </c>
      <c r="S11" s="65">
        <v>7.08</v>
      </c>
      <c r="T11" s="65">
        <v>8.9</v>
      </c>
      <c r="U11" s="65">
        <v>6.92</v>
      </c>
      <c r="V11" s="65">
        <v>7.5</v>
      </c>
      <c r="W11" s="65">
        <v>8.1</v>
      </c>
      <c r="X11" s="65">
        <v>8.6</v>
      </c>
      <c r="Y11" s="65">
        <v>8.02</v>
      </c>
      <c r="Z11" s="65">
        <v>8.68</v>
      </c>
      <c r="AA11" s="65">
        <v>8.2799999999999994</v>
      </c>
      <c r="AB11" s="65">
        <v>11.07</v>
      </c>
      <c r="AC11" s="65">
        <v>8.9</v>
      </c>
      <c r="AD11" s="65">
        <v>7.9</v>
      </c>
      <c r="AE11" s="65">
        <v>10.9</v>
      </c>
      <c r="AF11" s="67"/>
      <c r="AG11" s="65">
        <v>5.94</v>
      </c>
      <c r="AH11" s="65">
        <v>5.09</v>
      </c>
      <c r="AI11" s="65">
        <v>6.68</v>
      </c>
      <c r="AJ11" s="65">
        <v>6</v>
      </c>
      <c r="AK11" s="65">
        <v>6</v>
      </c>
      <c r="AL11" s="65">
        <v>5.08</v>
      </c>
      <c r="AM11" s="65">
        <v>6.21</v>
      </c>
      <c r="AN11" s="65">
        <v>6.68</v>
      </c>
      <c r="AO11" s="65">
        <v>6.64</v>
      </c>
      <c r="AP11" s="65">
        <v>4.82</v>
      </c>
      <c r="AQ11" s="65">
        <v>6.05</v>
      </c>
      <c r="AR11" s="67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7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7"/>
      <c r="CL11" s="66"/>
      <c r="CM11" s="66"/>
      <c r="CN11" s="66"/>
      <c r="CO11" s="66"/>
      <c r="CP11" s="66"/>
      <c r="CQ11" s="66"/>
      <c r="CR11" s="66"/>
      <c r="CS11" s="66"/>
      <c r="CT11" s="66"/>
      <c r="CZ11">
        <f t="shared" si="0"/>
        <v>4.82</v>
      </c>
      <c r="DA11">
        <f t="shared" si="1"/>
        <v>11.7</v>
      </c>
    </row>
    <row r="12" spans="1:105" x14ac:dyDescent="0.25">
      <c r="M12" s="68"/>
      <c r="AF12" s="68"/>
      <c r="AR12" s="68"/>
      <c r="CK12" s="68"/>
    </row>
    <row r="13" spans="1:105" x14ac:dyDescent="0.25">
      <c r="M13" s="68"/>
      <c r="AF13" s="68"/>
      <c r="AR13" s="68"/>
      <c r="CK13" s="68"/>
    </row>
    <row r="14" spans="1:105" x14ac:dyDescent="0.25">
      <c r="AF14" s="68"/>
      <c r="CK14" s="68"/>
    </row>
    <row r="15" spans="1:105" x14ac:dyDescent="0.25">
      <c r="AF15" s="68"/>
      <c r="CK15" s="68"/>
    </row>
    <row r="16" spans="1:105" x14ac:dyDescent="0.25">
      <c r="AF16" s="68"/>
      <c r="CK16" s="68"/>
    </row>
    <row r="17" spans="32:32" x14ac:dyDescent="0.25">
      <c r="AF17" s="68"/>
    </row>
  </sheetData>
  <conditionalFormatting sqref="A3">
    <cfRule type="colorScale" priority="11">
      <colorScale>
        <cfvo type="min"/>
        <cfvo type="max"/>
        <color rgb="FFF6BED7"/>
        <color rgb="FFE12C2B"/>
      </colorScale>
    </cfRule>
  </conditionalFormatting>
  <conditionalFormatting sqref="A4">
    <cfRule type="colorScale" priority="10">
      <colorScale>
        <cfvo type="min"/>
        <cfvo type="max"/>
        <color rgb="FFF6BED7"/>
        <color rgb="FFE12C2B"/>
      </colorScale>
    </cfRule>
  </conditionalFormatting>
  <conditionalFormatting sqref="A5">
    <cfRule type="colorScale" priority="7">
      <colorScale>
        <cfvo type="min"/>
        <cfvo type="max"/>
        <color rgb="FFF6BED7"/>
        <color rgb="FFE12C2B"/>
      </colorScale>
    </cfRule>
  </conditionalFormatting>
  <conditionalFormatting sqref="A6">
    <cfRule type="colorScale" priority="8">
      <colorScale>
        <cfvo type="min"/>
        <cfvo type="max"/>
        <color rgb="FFF6BED7"/>
        <color rgb="FFE12C2B"/>
      </colorScale>
    </cfRule>
  </conditionalFormatting>
  <conditionalFormatting sqref="A7:A8">
    <cfRule type="colorScale" priority="6">
      <colorScale>
        <cfvo type="min"/>
        <cfvo type="max"/>
        <color rgb="FFF6BED7"/>
        <color rgb="FFE12C2B"/>
      </colorScale>
    </cfRule>
  </conditionalFormatting>
  <conditionalFormatting sqref="A9">
    <cfRule type="colorScale" priority="5">
      <colorScale>
        <cfvo type="min"/>
        <cfvo type="max"/>
        <color rgb="FFF6BED7"/>
        <color rgb="FFE12C2B"/>
      </colorScale>
    </cfRule>
  </conditionalFormatting>
  <conditionalFormatting sqref="A10">
    <cfRule type="colorScale" priority="4">
      <colorScale>
        <cfvo type="min"/>
        <cfvo type="max"/>
        <color rgb="FFF6BED7"/>
        <color rgb="FFE12C2B"/>
      </colorScale>
    </cfRule>
  </conditionalFormatting>
  <conditionalFormatting sqref="A11">
    <cfRule type="colorScale" priority="3">
      <colorScale>
        <cfvo type="min"/>
        <cfvo type="max"/>
        <color rgb="FFF6BED7"/>
        <color rgb="FFE12C2B"/>
      </colorScale>
    </cfRule>
  </conditionalFormatting>
  <conditionalFormatting sqref="A7:CY7 DB7:XFD7">
    <cfRule type="colorScale" priority="1">
      <colorScale>
        <cfvo type="min"/>
        <cfvo type="max"/>
        <color rgb="FFFCE5C1"/>
        <color rgb="FF845D30"/>
      </colorScale>
    </cfRule>
    <cfRule type="colorScale" priority="2">
      <colorScale>
        <cfvo type="min"/>
        <cfvo type="max"/>
        <color rgb="FFCEEAD0"/>
        <color rgb="FF27562C"/>
      </colorScale>
    </cfRule>
  </conditionalFormatting>
  <conditionalFormatting sqref="B3:CT3">
    <cfRule type="colorScale" priority="34">
      <colorScale>
        <cfvo type="min"/>
        <cfvo type="max"/>
        <color rgb="FFFCE5C1"/>
        <color rgb="FF845D30"/>
      </colorScale>
    </cfRule>
  </conditionalFormatting>
  <conditionalFormatting sqref="B4:CT4">
    <cfRule type="colorScale" priority="35">
      <colorScale>
        <cfvo type="min"/>
        <cfvo type="max"/>
        <color rgb="FFFCE5C1"/>
        <color rgb="FF845D30"/>
      </colorScale>
    </cfRule>
  </conditionalFormatting>
  <conditionalFormatting sqref="B5:CT5">
    <cfRule type="colorScale" priority="38">
      <colorScale>
        <cfvo type="min"/>
        <cfvo type="max"/>
        <color rgb="FFFCE5C1"/>
        <color rgb="FF845D30"/>
      </colorScale>
    </cfRule>
  </conditionalFormatting>
  <conditionalFormatting sqref="B6:CT6">
    <cfRule type="colorScale" priority="37">
      <colorScale>
        <cfvo type="min"/>
        <cfvo type="max"/>
        <color rgb="FFFCE5C1"/>
        <color rgb="FF845D30"/>
      </colorScale>
    </cfRule>
  </conditionalFormatting>
  <conditionalFormatting sqref="B7:CT8">
    <cfRule type="colorScale" priority="39">
      <colorScale>
        <cfvo type="min"/>
        <cfvo type="max"/>
        <color rgb="FFF6BED7"/>
        <color rgb="FFE12C2B"/>
      </colorScale>
    </cfRule>
  </conditionalFormatting>
  <conditionalFormatting sqref="B9:CT9">
    <cfRule type="colorScale" priority="40">
      <colorScale>
        <cfvo type="min"/>
        <cfvo type="max"/>
        <color rgb="FFF8BEA7"/>
        <color rgb="FF933827"/>
      </colorScale>
    </cfRule>
  </conditionalFormatting>
  <conditionalFormatting sqref="B10:CT10">
    <cfRule type="colorScale" priority="41">
      <colorScale>
        <cfvo type="min"/>
        <cfvo type="max"/>
        <color rgb="FFF8BEA7"/>
        <color rgb="FF933827"/>
      </colorScale>
    </cfRule>
  </conditionalFormatting>
  <conditionalFormatting sqref="B11:CT11">
    <cfRule type="colorScale" priority="42">
      <colorScale>
        <cfvo type="min"/>
        <cfvo type="max"/>
        <color rgb="FFF8BEA7"/>
        <color rgb="FF933827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M160"/>
  <sheetViews>
    <sheetView topLeftCell="A59" workbookViewId="0">
      <selection activeCell="E34" sqref="E34"/>
    </sheetView>
  </sheetViews>
  <sheetFormatPr defaultColWidth="11" defaultRowHeight="15.75" x14ac:dyDescent="0.25"/>
  <cols>
    <col min="1" max="1" width="36.875" customWidth="1"/>
  </cols>
  <sheetData>
    <row r="1" spans="1:91" x14ac:dyDescent="0.25">
      <c r="A1" s="60" t="s">
        <v>0</v>
      </c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  <c r="L1" s="36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</row>
    <row r="2" spans="1:91" x14ac:dyDescent="0.25">
      <c r="A2" s="61" t="s">
        <v>711</v>
      </c>
      <c r="B2" s="34" t="s">
        <v>140</v>
      </c>
      <c r="C2" s="34" t="s">
        <v>145</v>
      </c>
      <c r="D2" s="34" t="s">
        <v>148</v>
      </c>
      <c r="E2" s="34" t="s">
        <v>151</v>
      </c>
      <c r="F2" s="34" t="s">
        <v>154</v>
      </c>
      <c r="G2" s="34" t="s">
        <v>156</v>
      </c>
      <c r="H2" s="34" t="s">
        <v>159</v>
      </c>
      <c r="I2" s="34" t="s">
        <v>161</v>
      </c>
      <c r="J2" s="34" t="s">
        <v>163</v>
      </c>
      <c r="K2" s="34" t="s">
        <v>164</v>
      </c>
      <c r="L2" s="34" t="s">
        <v>167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</row>
    <row r="3" spans="1:91" x14ac:dyDescent="0.25">
      <c r="A3" s="55" t="s">
        <v>686</v>
      </c>
      <c r="B3" s="48" t="s">
        <v>717</v>
      </c>
      <c r="C3" s="48" t="s">
        <v>554</v>
      </c>
      <c r="D3" s="48" t="s">
        <v>549</v>
      </c>
      <c r="E3" s="48" t="s">
        <v>544</v>
      </c>
      <c r="F3" s="48" t="s">
        <v>718</v>
      </c>
      <c r="G3" s="48" t="s">
        <v>538</v>
      </c>
      <c r="H3" s="48" t="s">
        <v>532</v>
      </c>
      <c r="I3" s="48" t="s">
        <v>530</v>
      </c>
      <c r="J3" s="53"/>
      <c r="K3" s="48" t="s">
        <v>528</v>
      </c>
      <c r="L3" s="5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</row>
    <row r="4" spans="1:91" x14ac:dyDescent="0.25">
      <c r="A4" s="55" t="s">
        <v>689</v>
      </c>
      <c r="B4" s="44">
        <v>23608</v>
      </c>
      <c r="C4" s="44">
        <v>20550</v>
      </c>
      <c r="D4" s="44">
        <v>24640</v>
      </c>
      <c r="E4" s="44">
        <v>23528</v>
      </c>
      <c r="F4" s="44">
        <v>18883</v>
      </c>
      <c r="G4" s="44">
        <v>23391</v>
      </c>
      <c r="H4" s="44">
        <v>26261</v>
      </c>
      <c r="I4" s="44">
        <v>26904</v>
      </c>
      <c r="J4" s="51"/>
      <c r="K4" s="44">
        <v>17776</v>
      </c>
      <c r="L4" s="51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</row>
    <row r="5" spans="1:91" x14ac:dyDescent="0.25">
      <c r="A5" s="55" t="s">
        <v>3</v>
      </c>
      <c r="B5" s="45">
        <v>43.888888888888886</v>
      </c>
      <c r="C5" s="45">
        <v>52.297222222222224</v>
      </c>
      <c r="D5" s="45">
        <v>41.85</v>
      </c>
      <c r="E5" s="45">
        <v>45.924999999999997</v>
      </c>
      <c r="F5" s="45">
        <v>59.674999999999997</v>
      </c>
      <c r="G5" s="45">
        <v>48.06388888888889</v>
      </c>
      <c r="H5" s="45">
        <v>40.35</v>
      </c>
      <c r="I5" s="45">
        <v>38.9</v>
      </c>
      <c r="J5" s="51"/>
      <c r="K5" s="45">
        <v>64.988888888888894</v>
      </c>
      <c r="L5" s="5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6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</row>
    <row r="6" spans="1:91" x14ac:dyDescent="0.25">
      <c r="A6" s="55" t="s">
        <v>4</v>
      </c>
      <c r="B6" s="43" t="s">
        <v>80</v>
      </c>
      <c r="C6" s="43" t="s">
        <v>80</v>
      </c>
      <c r="D6" s="43" t="s">
        <v>80</v>
      </c>
      <c r="E6" s="43" t="s">
        <v>80</v>
      </c>
      <c r="F6" s="43" t="s">
        <v>85</v>
      </c>
      <c r="G6" s="43" t="s">
        <v>80</v>
      </c>
      <c r="H6" s="43" t="s">
        <v>80</v>
      </c>
      <c r="I6" s="43" t="s">
        <v>80</v>
      </c>
      <c r="J6" s="51"/>
      <c r="K6" s="43" t="s">
        <v>85</v>
      </c>
      <c r="L6" s="51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6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</row>
    <row r="7" spans="1:91" x14ac:dyDescent="0.25">
      <c r="A7" s="55" t="s">
        <v>688</v>
      </c>
      <c r="B7" s="46">
        <v>39638</v>
      </c>
      <c r="C7" s="46">
        <v>39651</v>
      </c>
      <c r="D7" s="46">
        <v>39926</v>
      </c>
      <c r="E7" s="46">
        <v>40301</v>
      </c>
      <c r="F7" s="46">
        <v>40678</v>
      </c>
      <c r="G7" s="46">
        <v>40947</v>
      </c>
      <c r="H7" s="46">
        <v>40998</v>
      </c>
      <c r="I7" s="46">
        <v>41112</v>
      </c>
      <c r="J7" s="52"/>
      <c r="K7" s="46">
        <v>41512</v>
      </c>
      <c r="L7" s="5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</row>
    <row r="8" spans="1:91" x14ac:dyDescent="0.25">
      <c r="A8" s="55" t="s">
        <v>687</v>
      </c>
      <c r="B8" s="47">
        <v>1</v>
      </c>
      <c r="C8" s="47">
        <v>1</v>
      </c>
      <c r="D8" s="47">
        <v>1</v>
      </c>
      <c r="E8" s="47">
        <v>0</v>
      </c>
      <c r="F8" s="47">
        <v>1</v>
      </c>
      <c r="G8" s="47">
        <v>1</v>
      </c>
      <c r="H8" s="47">
        <v>0</v>
      </c>
      <c r="I8" s="47">
        <v>1</v>
      </c>
      <c r="J8" s="51"/>
      <c r="K8" s="47">
        <v>1</v>
      </c>
      <c r="L8" s="51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6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</row>
    <row r="9" spans="1:91" x14ac:dyDescent="0.25">
      <c r="A9" s="55" t="s">
        <v>686</v>
      </c>
      <c r="B9" s="48" t="s">
        <v>555</v>
      </c>
      <c r="C9" s="48" t="s">
        <v>553</v>
      </c>
      <c r="D9" s="48" t="s">
        <v>548</v>
      </c>
      <c r="E9" s="48"/>
      <c r="F9" s="48" t="s">
        <v>540</v>
      </c>
      <c r="G9" s="48" t="s">
        <v>537</v>
      </c>
      <c r="H9" s="48"/>
      <c r="I9" s="48" t="s">
        <v>529</v>
      </c>
      <c r="J9" s="51"/>
      <c r="K9" s="48" t="s">
        <v>527</v>
      </c>
      <c r="L9" s="5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</row>
    <row r="10" spans="1:91" x14ac:dyDescent="0.25">
      <c r="A10" s="55" t="s">
        <v>685</v>
      </c>
      <c r="B10" s="47">
        <v>1</v>
      </c>
      <c r="C10" s="47">
        <v>1</v>
      </c>
      <c r="D10" s="47">
        <v>0</v>
      </c>
      <c r="E10" s="47">
        <v>0</v>
      </c>
      <c r="F10" s="47">
        <v>0</v>
      </c>
      <c r="G10" s="47">
        <v>0</v>
      </c>
      <c r="H10" s="47">
        <v>0</v>
      </c>
      <c r="I10" s="47">
        <v>0</v>
      </c>
      <c r="J10" s="51"/>
      <c r="K10" s="47">
        <v>0</v>
      </c>
      <c r="L10" s="51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5"/>
      <c r="AN10" s="6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</row>
    <row r="11" spans="1:91" x14ac:dyDescent="0.25">
      <c r="A11" s="55" t="s">
        <v>27</v>
      </c>
      <c r="B11" s="47"/>
      <c r="C11" s="47" t="s">
        <v>142</v>
      </c>
      <c r="D11" s="47"/>
      <c r="E11" s="47">
        <v>29</v>
      </c>
      <c r="F11" s="47">
        <v>29.6</v>
      </c>
      <c r="G11" s="47"/>
      <c r="H11" s="47">
        <v>34</v>
      </c>
      <c r="I11" s="47"/>
      <c r="J11" s="51"/>
      <c r="K11" s="47">
        <v>21.6</v>
      </c>
      <c r="L11" s="5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5"/>
      <c r="AN11" s="6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</row>
    <row r="12" spans="1:91" x14ac:dyDescent="0.25">
      <c r="A12" s="55" t="s">
        <v>684</v>
      </c>
      <c r="B12" s="47">
        <v>100</v>
      </c>
      <c r="C12" s="47">
        <v>90</v>
      </c>
      <c r="D12" s="47">
        <v>100</v>
      </c>
      <c r="E12" s="47">
        <v>200</v>
      </c>
      <c r="F12" s="47">
        <v>50</v>
      </c>
      <c r="G12" s="47">
        <v>60</v>
      </c>
      <c r="H12" s="47">
        <v>100</v>
      </c>
      <c r="I12" s="47">
        <v>350</v>
      </c>
      <c r="J12" s="51"/>
      <c r="K12" s="47">
        <v>170</v>
      </c>
      <c r="L12" s="51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5"/>
      <c r="BU12" s="13"/>
      <c r="BV12" s="13"/>
      <c r="BW12" s="13"/>
      <c r="BX12" s="13"/>
      <c r="BY12" s="13"/>
      <c r="BZ12" s="13"/>
      <c r="CA12" s="13"/>
      <c r="CB12" s="13"/>
      <c r="CC12" s="13"/>
      <c r="CD12" s="5"/>
      <c r="CE12" s="5"/>
      <c r="CF12" s="5"/>
      <c r="CG12" s="5"/>
      <c r="CH12" s="5"/>
      <c r="CI12" s="5"/>
      <c r="CJ12" s="5"/>
      <c r="CK12" s="5"/>
      <c r="CL12" s="5"/>
      <c r="CM12" s="5"/>
    </row>
    <row r="13" spans="1:91" x14ac:dyDescent="0.25">
      <c r="A13" s="55" t="s">
        <v>683</v>
      </c>
      <c r="B13" s="47">
        <v>40</v>
      </c>
      <c r="C13" s="47">
        <v>40</v>
      </c>
      <c r="D13" s="47">
        <v>40</v>
      </c>
      <c r="E13" s="47">
        <v>40</v>
      </c>
      <c r="F13" s="47">
        <v>40</v>
      </c>
      <c r="G13" s="47">
        <v>40</v>
      </c>
      <c r="H13" s="47">
        <v>40</v>
      </c>
      <c r="I13" s="47">
        <v>0</v>
      </c>
      <c r="J13" s="51"/>
      <c r="K13" s="47">
        <v>40</v>
      </c>
      <c r="L13" s="5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5"/>
      <c r="BU13" s="13"/>
      <c r="BV13" s="13"/>
      <c r="BW13" s="13"/>
      <c r="BX13" s="13"/>
      <c r="BY13" s="13"/>
      <c r="BZ13" s="13"/>
      <c r="CA13" s="13"/>
      <c r="CB13" s="13"/>
      <c r="CC13" s="13"/>
      <c r="CD13" s="5"/>
      <c r="CE13" s="5"/>
      <c r="CF13" s="5"/>
      <c r="CG13" s="5"/>
      <c r="CH13" s="5"/>
      <c r="CI13" s="5"/>
      <c r="CJ13" s="5"/>
      <c r="CK13" s="5"/>
      <c r="CL13" s="5"/>
      <c r="CM13" s="5"/>
    </row>
    <row r="14" spans="1:91" x14ac:dyDescent="0.25">
      <c r="A14" s="55" t="s">
        <v>682</v>
      </c>
      <c r="B14" s="46">
        <v>39647</v>
      </c>
      <c r="C14" s="46">
        <v>39658</v>
      </c>
      <c r="D14" s="46">
        <v>39934</v>
      </c>
      <c r="E14" s="46">
        <v>40303</v>
      </c>
      <c r="F14" s="46">
        <v>40683</v>
      </c>
      <c r="G14" s="46">
        <v>40954</v>
      </c>
      <c r="H14" s="46">
        <v>41002</v>
      </c>
      <c r="I14" s="46">
        <v>41118</v>
      </c>
      <c r="J14" s="51"/>
      <c r="K14" s="46">
        <v>41522</v>
      </c>
      <c r="L14" s="51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</row>
    <row r="15" spans="1:91" x14ac:dyDescent="0.25">
      <c r="A15" s="55" t="s">
        <v>681</v>
      </c>
      <c r="B15" s="49">
        <v>29</v>
      </c>
      <c r="C15" s="49">
        <v>29</v>
      </c>
      <c r="D15" s="49">
        <v>38</v>
      </c>
      <c r="E15" s="49">
        <v>63</v>
      </c>
      <c r="F15" s="49">
        <v>26</v>
      </c>
      <c r="G15" s="49">
        <v>23</v>
      </c>
      <c r="H15" s="49">
        <v>33</v>
      </c>
      <c r="I15" s="49">
        <v>10</v>
      </c>
      <c r="J15" s="51"/>
      <c r="K15" s="49">
        <v>55</v>
      </c>
      <c r="L15" s="51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</row>
    <row r="16" spans="1:91" x14ac:dyDescent="0.25">
      <c r="A16" s="55" t="s">
        <v>680</v>
      </c>
      <c r="B16" s="46">
        <v>39677</v>
      </c>
      <c r="C16" s="46">
        <v>39688</v>
      </c>
      <c r="D16" s="46">
        <v>39973</v>
      </c>
      <c r="E16" s="46">
        <v>40367</v>
      </c>
      <c r="F16" s="46">
        <v>40710</v>
      </c>
      <c r="G16" s="46">
        <v>40976</v>
      </c>
      <c r="H16" s="46">
        <v>41035</v>
      </c>
      <c r="I16" s="46">
        <v>41129</v>
      </c>
      <c r="J16" s="51"/>
      <c r="K16" s="46">
        <v>41577</v>
      </c>
      <c r="L16" s="51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</row>
    <row r="17" spans="1:91" x14ac:dyDescent="0.25">
      <c r="A17" s="55" t="s">
        <v>679</v>
      </c>
      <c r="B17" s="49">
        <v>0</v>
      </c>
      <c r="C17" s="49">
        <v>0</v>
      </c>
      <c r="D17" s="49">
        <v>0</v>
      </c>
      <c r="E17" s="49">
        <v>0</v>
      </c>
      <c r="F17" s="49">
        <v>1</v>
      </c>
      <c r="G17" s="49">
        <v>0</v>
      </c>
      <c r="H17" s="49">
        <v>0</v>
      </c>
      <c r="I17" s="49">
        <v>0</v>
      </c>
      <c r="J17" s="51"/>
      <c r="K17" s="49" t="s">
        <v>526</v>
      </c>
      <c r="L17" s="51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</row>
    <row r="18" spans="1:91" x14ac:dyDescent="0.25">
      <c r="A18" s="55" t="s">
        <v>678</v>
      </c>
      <c r="B18" s="47">
        <v>0</v>
      </c>
      <c r="C18" s="47">
        <v>1</v>
      </c>
      <c r="D18" s="47">
        <v>1</v>
      </c>
      <c r="E18" s="47">
        <v>0</v>
      </c>
      <c r="F18" s="47">
        <v>0</v>
      </c>
      <c r="G18" s="47">
        <v>0</v>
      </c>
      <c r="H18" s="47">
        <v>1</v>
      </c>
      <c r="I18" s="47">
        <v>1</v>
      </c>
      <c r="J18" s="51"/>
      <c r="K18" s="47">
        <v>0</v>
      </c>
      <c r="L18" s="51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</row>
    <row r="19" spans="1:91" x14ac:dyDescent="0.25">
      <c r="A19" s="55" t="s">
        <v>677</v>
      </c>
      <c r="B19" s="47"/>
      <c r="C19" s="46">
        <v>39679</v>
      </c>
      <c r="D19" s="46">
        <v>39937</v>
      </c>
      <c r="E19" s="47"/>
      <c r="F19" s="47"/>
      <c r="G19" s="47"/>
      <c r="H19" s="46">
        <v>41016</v>
      </c>
      <c r="I19" s="46">
        <v>41121</v>
      </c>
      <c r="J19" s="51"/>
      <c r="K19" s="47"/>
      <c r="L19" s="51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</row>
    <row r="20" spans="1:91" x14ac:dyDescent="0.25">
      <c r="A20" s="55" t="s">
        <v>676</v>
      </c>
      <c r="B20" s="47"/>
      <c r="C20" s="47" t="s">
        <v>552</v>
      </c>
      <c r="D20" s="47">
        <v>1</v>
      </c>
      <c r="E20" s="47"/>
      <c r="F20" s="47"/>
      <c r="G20" s="47"/>
      <c r="H20" s="47">
        <v>1</v>
      </c>
      <c r="I20" s="47">
        <v>1</v>
      </c>
      <c r="J20" s="51"/>
      <c r="K20" s="47"/>
      <c r="L20" s="51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</row>
    <row r="21" spans="1:91" x14ac:dyDescent="0.25">
      <c r="A21" s="55" t="s">
        <v>675</v>
      </c>
      <c r="B21" s="47">
        <v>0</v>
      </c>
      <c r="C21" s="47">
        <v>1</v>
      </c>
      <c r="D21" s="47">
        <v>1</v>
      </c>
      <c r="E21" s="47">
        <v>1</v>
      </c>
      <c r="F21" s="47">
        <v>0</v>
      </c>
      <c r="G21" s="47">
        <v>1</v>
      </c>
      <c r="H21" s="47">
        <v>0</v>
      </c>
      <c r="I21" s="47">
        <v>0</v>
      </c>
      <c r="J21" s="51"/>
      <c r="K21" s="47">
        <v>1</v>
      </c>
      <c r="L21" s="51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</row>
    <row r="22" spans="1:91" x14ac:dyDescent="0.25">
      <c r="A22" s="55" t="s">
        <v>674</v>
      </c>
      <c r="B22" s="47"/>
      <c r="C22" s="46">
        <v>39684</v>
      </c>
      <c r="D22" s="46">
        <v>39967</v>
      </c>
      <c r="E22" s="46" t="s">
        <v>543</v>
      </c>
      <c r="F22" s="47"/>
      <c r="G22" s="47" t="s">
        <v>536</v>
      </c>
      <c r="H22" s="47"/>
      <c r="I22" s="47"/>
      <c r="J22" s="51"/>
      <c r="K22" s="46">
        <v>41567</v>
      </c>
      <c r="L22" s="5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</row>
    <row r="23" spans="1:91" x14ac:dyDescent="0.25">
      <c r="A23" s="55" t="s">
        <v>673</v>
      </c>
      <c r="B23" s="47"/>
      <c r="C23" s="47" t="s">
        <v>146</v>
      </c>
      <c r="D23" s="47" t="s">
        <v>149</v>
      </c>
      <c r="E23" s="47" t="s">
        <v>152</v>
      </c>
      <c r="F23" s="47"/>
      <c r="G23" s="47" t="s">
        <v>157</v>
      </c>
      <c r="H23" s="47"/>
      <c r="I23" s="48"/>
      <c r="J23" s="51"/>
      <c r="K23" s="47" t="s">
        <v>165</v>
      </c>
      <c r="L23" s="51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</row>
    <row r="24" spans="1:91" x14ac:dyDescent="0.25">
      <c r="A24" s="55" t="s">
        <v>672</v>
      </c>
      <c r="B24" s="47"/>
      <c r="C24" s="47" t="s">
        <v>551</v>
      </c>
      <c r="D24" s="47" t="s">
        <v>547</v>
      </c>
      <c r="E24" s="47" t="s">
        <v>542</v>
      </c>
      <c r="F24" s="47"/>
      <c r="G24" s="47" t="s">
        <v>535</v>
      </c>
      <c r="H24" s="47"/>
      <c r="I24" s="48"/>
      <c r="J24" s="51"/>
      <c r="K24" s="47" t="s">
        <v>525</v>
      </c>
      <c r="L24" s="51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</row>
    <row r="25" spans="1:91" x14ac:dyDescent="0.25">
      <c r="A25" s="55" t="s">
        <v>671</v>
      </c>
      <c r="B25" s="47"/>
      <c r="C25" s="47" t="s">
        <v>550</v>
      </c>
      <c r="D25" s="47" t="s">
        <v>546</v>
      </c>
      <c r="E25" s="47" t="s">
        <v>541</v>
      </c>
      <c r="F25" s="47"/>
      <c r="G25" s="47"/>
      <c r="H25" s="47"/>
      <c r="I25" s="47"/>
      <c r="J25" s="51"/>
      <c r="K25" s="47" t="s">
        <v>524</v>
      </c>
      <c r="L25" s="51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</row>
    <row r="26" spans="1:91" x14ac:dyDescent="0.25">
      <c r="A26" s="55" t="s">
        <v>670</v>
      </c>
      <c r="B26" s="47"/>
      <c r="C26" s="46">
        <v>39651</v>
      </c>
      <c r="D26" s="46">
        <v>40300</v>
      </c>
      <c r="E26" s="46">
        <v>40301</v>
      </c>
      <c r="F26" s="46">
        <v>40678</v>
      </c>
      <c r="G26" s="46">
        <v>40970</v>
      </c>
      <c r="H26" s="46">
        <v>41015</v>
      </c>
      <c r="I26" s="46">
        <v>41122</v>
      </c>
      <c r="J26" s="51"/>
      <c r="K26" s="46">
        <v>41534</v>
      </c>
      <c r="L26" s="51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12"/>
      <c r="BM26" s="12"/>
      <c r="BN26" s="12"/>
      <c r="BO26" s="12"/>
      <c r="BP26" s="12"/>
      <c r="BQ26" s="12"/>
      <c r="BR26" s="12"/>
      <c r="BS26" s="12"/>
      <c r="BT26" s="4"/>
      <c r="BU26" s="12"/>
      <c r="BV26" s="12"/>
      <c r="BW26" s="12"/>
      <c r="BX26" s="12"/>
      <c r="BY26" s="12"/>
      <c r="BZ26" s="12"/>
      <c r="CA26" s="12"/>
      <c r="CB26" s="12"/>
      <c r="CC26" s="12"/>
      <c r="CD26" s="4"/>
      <c r="CE26" s="4"/>
      <c r="CF26" s="4"/>
      <c r="CG26" s="4"/>
      <c r="CH26" s="4"/>
      <c r="CI26" s="4"/>
      <c r="CJ26" s="4"/>
      <c r="CK26" s="4"/>
      <c r="CL26" s="4"/>
      <c r="CM26" s="4"/>
    </row>
    <row r="27" spans="1:91" x14ac:dyDescent="0.25">
      <c r="A27" s="55" t="s">
        <v>666</v>
      </c>
      <c r="B27" s="47"/>
      <c r="C27" s="47">
        <v>0</v>
      </c>
      <c r="D27" s="47">
        <v>0</v>
      </c>
      <c r="E27" s="47">
        <v>0</v>
      </c>
      <c r="F27" s="47">
        <v>0</v>
      </c>
      <c r="G27" s="47" t="s">
        <v>533</v>
      </c>
      <c r="H27" s="47">
        <v>0</v>
      </c>
      <c r="I27" s="47">
        <v>0</v>
      </c>
      <c r="J27" s="51"/>
      <c r="K27" s="47" t="s">
        <v>523</v>
      </c>
      <c r="L27" s="51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</row>
    <row r="28" spans="1:91" x14ac:dyDescent="0.25">
      <c r="A28" s="55" t="s">
        <v>669</v>
      </c>
      <c r="B28" s="47"/>
      <c r="C28" s="47">
        <v>0</v>
      </c>
      <c r="D28" s="46">
        <v>39967</v>
      </c>
      <c r="E28" s="46">
        <v>40334</v>
      </c>
      <c r="F28" s="46">
        <v>40691</v>
      </c>
      <c r="G28" s="46">
        <v>40979</v>
      </c>
      <c r="H28" s="46">
        <v>41016</v>
      </c>
      <c r="I28" s="46">
        <v>41127</v>
      </c>
      <c r="J28" s="51"/>
      <c r="K28" s="46">
        <v>41537</v>
      </c>
      <c r="L28" s="51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</row>
    <row r="29" spans="1:91" x14ac:dyDescent="0.25">
      <c r="A29" s="55" t="s">
        <v>666</v>
      </c>
      <c r="B29" s="47"/>
      <c r="C29" s="47"/>
      <c r="D29" s="47">
        <v>0</v>
      </c>
      <c r="E29" s="47" t="s">
        <v>463</v>
      </c>
      <c r="F29" s="47"/>
      <c r="G29" s="47">
        <v>0</v>
      </c>
      <c r="H29" s="47">
        <v>0</v>
      </c>
      <c r="I29" s="47">
        <v>0</v>
      </c>
      <c r="J29" s="51"/>
      <c r="K29" s="47" t="s">
        <v>523</v>
      </c>
      <c r="L29" s="51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</row>
    <row r="30" spans="1:91" x14ac:dyDescent="0.25">
      <c r="A30" s="55" t="s">
        <v>668</v>
      </c>
      <c r="B30" s="46">
        <v>39657</v>
      </c>
      <c r="C30" s="46">
        <v>39651</v>
      </c>
      <c r="D30" s="46">
        <v>39967</v>
      </c>
      <c r="E30" s="46">
        <v>40301</v>
      </c>
      <c r="F30" s="46">
        <v>40691</v>
      </c>
      <c r="G30" s="46">
        <v>40978</v>
      </c>
      <c r="H30" s="46">
        <v>41018</v>
      </c>
      <c r="I30" s="46">
        <v>41124</v>
      </c>
      <c r="J30" s="51"/>
      <c r="K30" s="46">
        <v>41564</v>
      </c>
      <c r="L30" s="51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</row>
    <row r="31" spans="1:91" x14ac:dyDescent="0.25">
      <c r="A31" s="55" t="s">
        <v>666</v>
      </c>
      <c r="B31" s="47">
        <v>0</v>
      </c>
      <c r="C31" s="47">
        <v>0</v>
      </c>
      <c r="D31" s="47" t="s">
        <v>545</v>
      </c>
      <c r="E31" s="47" t="s">
        <v>463</v>
      </c>
      <c r="F31" s="47"/>
      <c r="G31" s="47" t="s">
        <v>523</v>
      </c>
      <c r="H31" s="47" t="s">
        <v>531</v>
      </c>
      <c r="I31" s="47">
        <v>0</v>
      </c>
      <c r="J31" s="51"/>
      <c r="K31" s="47" t="s">
        <v>522</v>
      </c>
      <c r="L31" s="51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</row>
    <row r="32" spans="1:91" x14ac:dyDescent="0.25">
      <c r="A32" s="55" t="s">
        <v>667</v>
      </c>
      <c r="B32" s="46">
        <v>39665</v>
      </c>
      <c r="C32" s="46">
        <v>39651</v>
      </c>
      <c r="D32" s="46">
        <v>40300</v>
      </c>
      <c r="E32" s="46">
        <v>40301</v>
      </c>
      <c r="F32" s="47" t="s">
        <v>539</v>
      </c>
      <c r="G32" s="46">
        <v>40969</v>
      </c>
      <c r="H32" s="46">
        <v>41013</v>
      </c>
      <c r="I32" s="46">
        <v>41124</v>
      </c>
      <c r="J32" s="51"/>
      <c r="K32" s="47" t="s">
        <v>521</v>
      </c>
      <c r="L32" s="51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7"/>
      <c r="BM32" s="7"/>
      <c r="BN32" s="7"/>
      <c r="BO32" s="7"/>
      <c r="BP32" s="7"/>
      <c r="BQ32" s="7"/>
      <c r="BR32" s="7"/>
      <c r="BS32" s="7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</row>
    <row r="33" spans="1:91" x14ac:dyDescent="0.25">
      <c r="A33" s="55" t="s">
        <v>666</v>
      </c>
      <c r="B33" s="47" t="s">
        <v>523</v>
      </c>
      <c r="C33" s="47">
        <v>0</v>
      </c>
      <c r="D33" s="47">
        <v>0</v>
      </c>
      <c r="E33" s="47">
        <v>0</v>
      </c>
      <c r="F33" s="47">
        <v>0</v>
      </c>
      <c r="G33" s="47" t="s">
        <v>523</v>
      </c>
      <c r="H33" s="47" t="s">
        <v>523</v>
      </c>
      <c r="I33" s="47">
        <v>0</v>
      </c>
      <c r="J33" s="51"/>
      <c r="K33" s="47" t="s">
        <v>142</v>
      </c>
      <c r="L33" s="51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</row>
    <row r="34" spans="1:91" x14ac:dyDescent="0.25">
      <c r="A34" s="55" t="s">
        <v>665</v>
      </c>
      <c r="B34" s="47"/>
      <c r="C34" s="46">
        <v>40381</v>
      </c>
      <c r="D34" s="46">
        <v>40300</v>
      </c>
      <c r="E34" s="46">
        <v>40301</v>
      </c>
      <c r="F34" s="46">
        <v>40682</v>
      </c>
      <c r="G34" s="46">
        <v>40973</v>
      </c>
      <c r="H34" s="46">
        <v>41017</v>
      </c>
      <c r="I34" s="46">
        <v>41124</v>
      </c>
      <c r="J34" s="51"/>
      <c r="K34" s="46">
        <v>41535</v>
      </c>
      <c r="L34" s="5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</row>
    <row r="35" spans="1:91" x14ac:dyDescent="0.25">
      <c r="A35" s="55" t="s">
        <v>664</v>
      </c>
      <c r="B35" s="47"/>
      <c r="C35" s="47" t="s">
        <v>520</v>
      </c>
      <c r="D35" s="47" t="s">
        <v>520</v>
      </c>
      <c r="E35" s="47" t="s">
        <v>520</v>
      </c>
      <c r="F35" s="47" t="s">
        <v>520</v>
      </c>
      <c r="G35" s="47" t="s">
        <v>520</v>
      </c>
      <c r="H35" s="47" t="s">
        <v>520</v>
      </c>
      <c r="I35" s="47">
        <v>0</v>
      </c>
      <c r="J35" s="51"/>
      <c r="K35" s="47" t="s">
        <v>520</v>
      </c>
      <c r="L35" s="51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</row>
    <row r="36" spans="1:91" x14ac:dyDescent="0.25">
      <c r="A36" s="55" t="s">
        <v>516</v>
      </c>
      <c r="B36" s="47">
        <v>2</v>
      </c>
      <c r="C36" s="47">
        <v>2</v>
      </c>
      <c r="D36" s="47">
        <v>2</v>
      </c>
      <c r="E36" s="47">
        <v>2</v>
      </c>
      <c r="F36" s="47">
        <v>2</v>
      </c>
      <c r="G36" s="47">
        <v>2</v>
      </c>
      <c r="H36" s="47">
        <v>1</v>
      </c>
      <c r="I36" s="47">
        <v>2</v>
      </c>
      <c r="J36" s="51"/>
      <c r="K36" s="47">
        <v>2</v>
      </c>
      <c r="L36" s="51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</row>
    <row r="37" spans="1:91" x14ac:dyDescent="0.25">
      <c r="A37" s="55" t="s">
        <v>663</v>
      </c>
      <c r="B37" s="47">
        <v>15</v>
      </c>
      <c r="C37" s="47">
        <v>17</v>
      </c>
      <c r="D37" s="47" t="s">
        <v>142</v>
      </c>
      <c r="E37" s="47" t="s">
        <v>142</v>
      </c>
      <c r="F37" s="47" t="s">
        <v>142</v>
      </c>
      <c r="G37" s="47"/>
      <c r="H37" s="47" t="s">
        <v>142</v>
      </c>
      <c r="I37" s="47" t="s">
        <v>142</v>
      </c>
      <c r="J37" s="51"/>
      <c r="K37" s="47" t="s">
        <v>142</v>
      </c>
      <c r="L37" s="51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</row>
    <row r="38" spans="1:91" x14ac:dyDescent="0.25">
      <c r="A38" s="55" t="s">
        <v>662</v>
      </c>
      <c r="B38" s="47">
        <v>1</v>
      </c>
      <c r="C38" s="47">
        <v>3</v>
      </c>
      <c r="D38" s="47">
        <v>3</v>
      </c>
      <c r="E38" s="47">
        <v>2</v>
      </c>
      <c r="F38" s="47">
        <v>1</v>
      </c>
      <c r="G38" s="47">
        <v>3</v>
      </c>
      <c r="H38" s="47">
        <v>3</v>
      </c>
      <c r="I38" s="47">
        <v>2</v>
      </c>
      <c r="J38" s="51"/>
      <c r="K38" s="47">
        <v>1</v>
      </c>
      <c r="L38" s="51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</row>
    <row r="39" spans="1:91" x14ac:dyDescent="0.25">
      <c r="A39" s="55" t="s">
        <v>661</v>
      </c>
      <c r="B39" s="47">
        <v>1</v>
      </c>
      <c r="C39" s="47">
        <v>1</v>
      </c>
      <c r="D39" s="47">
        <v>1</v>
      </c>
      <c r="E39" s="47">
        <v>1</v>
      </c>
      <c r="F39" s="47">
        <v>1</v>
      </c>
      <c r="G39" s="47">
        <v>1</v>
      </c>
      <c r="H39" s="47">
        <v>1</v>
      </c>
      <c r="I39" s="47">
        <v>1</v>
      </c>
      <c r="J39" s="51"/>
      <c r="K39" s="47">
        <v>1</v>
      </c>
      <c r="L39" s="51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</row>
    <row r="40" spans="1:91" x14ac:dyDescent="0.25">
      <c r="A40" s="55" t="s">
        <v>660</v>
      </c>
      <c r="B40" s="47">
        <v>0</v>
      </c>
      <c r="C40" s="47">
        <v>0</v>
      </c>
      <c r="D40" s="47">
        <v>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51"/>
      <c r="K40" s="47">
        <v>0</v>
      </c>
      <c r="L40" s="51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</row>
    <row r="41" spans="1:91" x14ac:dyDescent="0.25">
      <c r="A41" s="55" t="s">
        <v>659</v>
      </c>
      <c r="B41" s="47">
        <v>0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51"/>
      <c r="K41" s="47">
        <v>0</v>
      </c>
      <c r="L41" s="51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</row>
    <row r="42" spans="1:91" x14ac:dyDescent="0.25">
      <c r="A42" s="55" t="s">
        <v>658</v>
      </c>
      <c r="B42" s="47">
        <v>0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51"/>
      <c r="K42" s="47">
        <v>0</v>
      </c>
      <c r="L42" s="51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</row>
    <row r="43" spans="1:91" x14ac:dyDescent="0.25">
      <c r="A43" s="55" t="s">
        <v>184</v>
      </c>
      <c r="B43" s="47">
        <v>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51"/>
      <c r="K43" s="47">
        <v>0</v>
      </c>
      <c r="L43" s="51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</row>
    <row r="44" spans="1:91" x14ac:dyDescent="0.25">
      <c r="A44" s="55" t="s">
        <v>657</v>
      </c>
      <c r="B44" s="47">
        <v>1</v>
      </c>
      <c r="C44" s="47">
        <v>3</v>
      </c>
      <c r="D44" s="47">
        <v>3</v>
      </c>
      <c r="E44" s="47">
        <v>3</v>
      </c>
      <c r="F44" s="47">
        <v>2</v>
      </c>
      <c r="G44" s="47">
        <v>3</v>
      </c>
      <c r="H44" s="47">
        <v>2</v>
      </c>
      <c r="I44" s="47">
        <v>2</v>
      </c>
      <c r="J44" s="51"/>
      <c r="K44" s="47">
        <v>1</v>
      </c>
      <c r="L44" s="51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</row>
    <row r="45" spans="1:91" x14ac:dyDescent="0.25">
      <c r="A45" s="55" t="s">
        <v>514</v>
      </c>
      <c r="B45" s="47">
        <v>1</v>
      </c>
      <c r="C45" s="47">
        <v>1</v>
      </c>
      <c r="D45" s="47">
        <v>1</v>
      </c>
      <c r="E45" s="47">
        <v>1</v>
      </c>
      <c r="F45" s="47">
        <v>1</v>
      </c>
      <c r="G45" s="47">
        <v>2</v>
      </c>
      <c r="H45" s="47">
        <v>1</v>
      </c>
      <c r="I45" s="47">
        <v>1</v>
      </c>
      <c r="J45" s="51"/>
      <c r="K45" s="47">
        <v>1</v>
      </c>
      <c r="L45" s="51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</row>
    <row r="46" spans="1:91" x14ac:dyDescent="0.25">
      <c r="A46" s="55" t="s">
        <v>656</v>
      </c>
      <c r="B46" s="47">
        <v>7600</v>
      </c>
      <c r="C46" s="47">
        <v>13040</v>
      </c>
      <c r="D46" s="47">
        <v>15190</v>
      </c>
      <c r="E46" s="47">
        <v>13130</v>
      </c>
      <c r="F46" s="47">
        <v>6190</v>
      </c>
      <c r="G46" s="47">
        <v>15550</v>
      </c>
      <c r="H46" s="47">
        <v>7500</v>
      </c>
      <c r="I46" s="47">
        <v>10800</v>
      </c>
      <c r="J46" s="51"/>
      <c r="K46" s="47">
        <v>7300</v>
      </c>
      <c r="L46" s="51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</row>
    <row r="47" spans="1:91" x14ac:dyDescent="0.25">
      <c r="A47" s="55" t="s">
        <v>655</v>
      </c>
      <c r="B47" s="47">
        <v>3116</v>
      </c>
      <c r="C47" s="47">
        <v>10732</v>
      </c>
      <c r="D47" s="47"/>
      <c r="E47" s="47" t="s">
        <v>142</v>
      </c>
      <c r="F47" s="47">
        <v>5010</v>
      </c>
      <c r="G47" s="47">
        <v>14150</v>
      </c>
      <c r="H47" s="47">
        <v>5680</v>
      </c>
      <c r="I47" s="47" t="s">
        <v>142</v>
      </c>
      <c r="J47" s="51"/>
      <c r="K47" s="47">
        <v>4234</v>
      </c>
      <c r="L47" s="51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</row>
    <row r="48" spans="1:91" x14ac:dyDescent="0.25">
      <c r="A48" s="55" t="s">
        <v>654</v>
      </c>
      <c r="B48" s="47">
        <v>47</v>
      </c>
      <c r="C48" s="47">
        <v>42</v>
      </c>
      <c r="D48" s="47">
        <v>31</v>
      </c>
      <c r="E48" s="47">
        <v>33</v>
      </c>
      <c r="F48" s="47">
        <v>27</v>
      </c>
      <c r="G48" s="47">
        <v>42</v>
      </c>
      <c r="H48" s="47">
        <v>39</v>
      </c>
      <c r="I48" s="47">
        <v>47</v>
      </c>
      <c r="J48" s="51"/>
      <c r="K48" s="47">
        <v>51</v>
      </c>
      <c r="L48" s="51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</row>
    <row r="49" spans="1:91" x14ac:dyDescent="0.25">
      <c r="A49" s="55" t="s">
        <v>622</v>
      </c>
      <c r="B49" s="47">
        <v>7.6</v>
      </c>
      <c r="C49" s="47">
        <v>7.3</v>
      </c>
      <c r="D49" s="47"/>
      <c r="E49" s="47">
        <v>13.5</v>
      </c>
      <c r="F49" s="47" t="s">
        <v>142</v>
      </c>
      <c r="G49" s="47">
        <v>8.5</v>
      </c>
      <c r="H49" s="47" t="s">
        <v>142</v>
      </c>
      <c r="I49" s="47">
        <v>7</v>
      </c>
      <c r="J49" s="51"/>
      <c r="K49" s="47">
        <v>4.3</v>
      </c>
      <c r="L49" s="51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</row>
    <row r="50" spans="1:91" x14ac:dyDescent="0.25">
      <c r="A50" s="55" t="s">
        <v>653</v>
      </c>
      <c r="B50" s="47">
        <v>12.6</v>
      </c>
      <c r="C50" s="47">
        <v>10.5</v>
      </c>
      <c r="D50" s="47"/>
      <c r="E50" s="47">
        <v>10.5</v>
      </c>
      <c r="F50" s="47" t="s">
        <v>142</v>
      </c>
      <c r="G50" s="47">
        <v>13.6</v>
      </c>
      <c r="H50" s="47" t="s">
        <v>142</v>
      </c>
      <c r="I50" s="47">
        <v>13.2</v>
      </c>
      <c r="J50" s="51"/>
      <c r="K50" s="47">
        <v>8.6</v>
      </c>
      <c r="L50" s="51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</row>
    <row r="51" spans="1:91" x14ac:dyDescent="0.25">
      <c r="A51" s="55" t="s">
        <v>652</v>
      </c>
      <c r="B51" s="47">
        <v>1.9</v>
      </c>
      <c r="C51" s="47">
        <v>1.7</v>
      </c>
      <c r="D51" s="47">
        <v>3.7</v>
      </c>
      <c r="E51" s="47">
        <v>2.8</v>
      </c>
      <c r="F51" s="47">
        <v>2.9</v>
      </c>
      <c r="G51" s="47">
        <v>1.89</v>
      </c>
      <c r="H51" s="47">
        <v>1.7</v>
      </c>
      <c r="I51" s="47">
        <v>1.4</v>
      </c>
      <c r="J51" s="51"/>
      <c r="K51" s="47">
        <v>1.5</v>
      </c>
      <c r="L51" s="51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</row>
    <row r="52" spans="1:91" x14ac:dyDescent="0.25">
      <c r="A52" s="55" t="s">
        <v>651</v>
      </c>
      <c r="B52" s="47">
        <v>143</v>
      </c>
      <c r="C52" s="47">
        <v>378</v>
      </c>
      <c r="D52" s="47">
        <v>76</v>
      </c>
      <c r="E52" s="47">
        <v>127</v>
      </c>
      <c r="F52" s="47">
        <v>160</v>
      </c>
      <c r="G52" s="47">
        <v>181</v>
      </c>
      <c r="H52" s="47">
        <v>305</v>
      </c>
      <c r="I52" s="47">
        <v>201</v>
      </c>
      <c r="J52" s="51"/>
      <c r="K52" s="47">
        <v>104</v>
      </c>
      <c r="L52" s="51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</row>
    <row r="53" spans="1:91" x14ac:dyDescent="0.25">
      <c r="A53" s="55" t="s">
        <v>650</v>
      </c>
      <c r="B53" s="47">
        <v>121</v>
      </c>
      <c r="C53" s="47">
        <v>264</v>
      </c>
      <c r="D53" s="47">
        <v>291</v>
      </c>
      <c r="E53" s="47">
        <v>182</v>
      </c>
      <c r="F53" s="47">
        <v>127</v>
      </c>
      <c r="G53" s="47">
        <v>86</v>
      </c>
      <c r="H53" s="47">
        <v>109</v>
      </c>
      <c r="I53" s="47">
        <v>295</v>
      </c>
      <c r="J53" s="51"/>
      <c r="K53" s="47">
        <v>120</v>
      </c>
      <c r="L53" s="5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</row>
    <row r="54" spans="1:91" x14ac:dyDescent="0.25">
      <c r="A54" s="55" t="s">
        <v>649</v>
      </c>
      <c r="B54" s="47">
        <v>91</v>
      </c>
      <c r="C54" s="47">
        <v>190</v>
      </c>
      <c r="D54" s="47"/>
      <c r="E54" s="47">
        <v>131</v>
      </c>
      <c r="F54" s="47">
        <v>57.6</v>
      </c>
      <c r="G54" s="47">
        <v>47</v>
      </c>
      <c r="H54" s="47">
        <v>78</v>
      </c>
      <c r="I54" s="47">
        <v>263</v>
      </c>
      <c r="J54" s="51"/>
      <c r="K54" s="47">
        <v>93</v>
      </c>
      <c r="L54" s="51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</row>
    <row r="55" spans="1:91" x14ac:dyDescent="0.25">
      <c r="A55" s="55" t="s">
        <v>648</v>
      </c>
      <c r="B55" s="47">
        <v>23</v>
      </c>
      <c r="C55" s="47">
        <v>22.5</v>
      </c>
      <c r="D55" s="47">
        <v>23</v>
      </c>
      <c r="E55" s="47">
        <v>14.3</v>
      </c>
      <c r="F55" s="47">
        <v>26</v>
      </c>
      <c r="G55" s="47">
        <v>25</v>
      </c>
      <c r="H55" s="47">
        <v>40</v>
      </c>
      <c r="I55" s="47">
        <v>23</v>
      </c>
      <c r="J55" s="51"/>
      <c r="K55" s="47">
        <v>26.4</v>
      </c>
      <c r="L55" s="51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</row>
    <row r="56" spans="1:91" x14ac:dyDescent="0.25">
      <c r="A56" s="55" t="s">
        <v>647</v>
      </c>
      <c r="B56" s="47" t="s">
        <v>144</v>
      </c>
      <c r="C56" s="47">
        <v>55.5</v>
      </c>
      <c r="D56" s="47"/>
      <c r="E56" s="47">
        <v>32.6</v>
      </c>
      <c r="F56" s="47" t="s">
        <v>142</v>
      </c>
      <c r="G56" s="47">
        <v>55</v>
      </c>
      <c r="H56" s="47">
        <v>9</v>
      </c>
      <c r="I56" s="47">
        <v>79.5</v>
      </c>
      <c r="J56" s="51"/>
      <c r="K56" s="47" t="s">
        <v>142</v>
      </c>
      <c r="L56" s="51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</row>
    <row r="57" spans="1:91" x14ac:dyDescent="0.25">
      <c r="A57" s="55" t="s">
        <v>646</v>
      </c>
      <c r="B57" s="47">
        <v>6.7</v>
      </c>
      <c r="C57" s="47">
        <v>5</v>
      </c>
      <c r="D57" s="47">
        <v>21</v>
      </c>
      <c r="E57" s="47">
        <v>16</v>
      </c>
      <c r="F57" s="47">
        <v>4.8</v>
      </c>
      <c r="G57" s="47">
        <v>6.8999999999999995</v>
      </c>
      <c r="H57" s="47">
        <v>7</v>
      </c>
      <c r="I57" s="47">
        <v>6</v>
      </c>
      <c r="J57" s="51"/>
      <c r="K57" s="47">
        <v>6</v>
      </c>
      <c r="L57" s="51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</row>
    <row r="58" spans="1:91" x14ac:dyDescent="0.25">
      <c r="A58" s="55" t="s">
        <v>645</v>
      </c>
      <c r="B58" s="47">
        <v>47.059999999999995</v>
      </c>
      <c r="C58" s="47">
        <v>59.980000000000004</v>
      </c>
      <c r="D58" s="47"/>
      <c r="E58" s="47">
        <v>80.3</v>
      </c>
      <c r="F58" s="47"/>
      <c r="G58" s="47">
        <v>47.699999999999996</v>
      </c>
      <c r="H58" s="47"/>
      <c r="I58" s="47">
        <v>61.699999999999996</v>
      </c>
      <c r="J58" s="51"/>
      <c r="K58" s="47">
        <v>31.779999999999998</v>
      </c>
      <c r="L58" s="51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</row>
    <row r="59" spans="1:91" x14ac:dyDescent="0.25">
      <c r="A59" s="55" t="s">
        <v>713</v>
      </c>
      <c r="B59" s="56">
        <v>10</v>
      </c>
      <c r="C59" s="56">
        <v>12</v>
      </c>
      <c r="D59" s="56">
        <v>13</v>
      </c>
      <c r="E59" s="56">
        <v>13</v>
      </c>
      <c r="F59" s="56">
        <v>12</v>
      </c>
      <c r="G59" s="56">
        <v>13</v>
      </c>
      <c r="H59" s="56">
        <v>9</v>
      </c>
      <c r="I59" s="56">
        <v>12</v>
      </c>
      <c r="J59" s="56">
        <v>12</v>
      </c>
      <c r="K59" s="56">
        <v>11</v>
      </c>
      <c r="L59" s="56">
        <v>14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</row>
    <row r="60" spans="1:91" x14ac:dyDescent="0.25">
      <c r="A60" s="58" t="s">
        <v>47</v>
      </c>
      <c r="B60" s="59">
        <f t="shared" ref="B60:I60" si="0">3.78*LN(B53/10)+11.2*LN(B51)+9.57*LN(B57/10)+6.43</f>
        <v>19.210509823634517</v>
      </c>
      <c r="C60" s="59">
        <f t="shared" si="0"/>
        <v>18.112933852313212</v>
      </c>
      <c r="D60" s="59">
        <f t="shared" si="0"/>
        <v>40.925058267532897</v>
      </c>
      <c r="E60" s="59">
        <f t="shared" si="0"/>
        <v>33.427045829943452</v>
      </c>
      <c r="F60" s="59">
        <f t="shared" si="0"/>
        <v>20.937930784093659</v>
      </c>
      <c r="G60" s="59">
        <f t="shared" si="0"/>
        <v>18.142242183011874</v>
      </c>
      <c r="H60" s="59">
        <f t="shared" si="0"/>
        <v>17.989180541711306</v>
      </c>
      <c r="I60" s="59">
        <f t="shared" si="0"/>
        <v>18.102883026164079</v>
      </c>
      <c r="J60" s="59"/>
      <c r="K60" s="59">
        <f>3.78*LN(K53/10)+11.2*LN(K51)+9.57*LN(K57/10)+6.43</f>
        <v>15.47555512756955</v>
      </c>
      <c r="L60" s="5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</row>
    <row r="61" spans="1:91" x14ac:dyDescent="0.25">
      <c r="A61" s="55" t="s">
        <v>47</v>
      </c>
      <c r="B61" s="57">
        <v>19.210509823634499</v>
      </c>
      <c r="C61" s="57">
        <v>18.112933852313212</v>
      </c>
      <c r="D61" s="57">
        <v>40.925058267532897</v>
      </c>
      <c r="E61" s="57">
        <v>33.427045829943452</v>
      </c>
      <c r="F61" s="57">
        <v>20.937930784093659</v>
      </c>
      <c r="G61" s="57">
        <v>18.142242183011874</v>
      </c>
      <c r="H61" s="57">
        <v>17.989180541711306</v>
      </c>
      <c r="I61" s="57">
        <v>18.102883026164079</v>
      </c>
      <c r="J61" s="57"/>
      <c r="K61" s="57">
        <v>15.47555512756955</v>
      </c>
      <c r="L61" s="57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</row>
    <row r="62" spans="1:91" x14ac:dyDescent="0.25">
      <c r="A62" s="55" t="s">
        <v>720</v>
      </c>
      <c r="B62" s="47">
        <v>7.0890000000000004</v>
      </c>
      <c r="C62" s="47">
        <v>8.822000000000001</v>
      </c>
      <c r="D62" s="47">
        <v>10.118</v>
      </c>
      <c r="E62" s="47">
        <v>8.7760000000000016</v>
      </c>
      <c r="F62" s="47">
        <v>9.48</v>
      </c>
      <c r="G62" s="47">
        <v>7.2070000000000007</v>
      </c>
      <c r="H62" s="47">
        <v>6.5420000000000007</v>
      </c>
      <c r="I62" s="47">
        <v>7.56</v>
      </c>
      <c r="J62" s="47"/>
      <c r="K62" s="47">
        <v>8.84</v>
      </c>
      <c r="L62" s="47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</row>
    <row r="63" spans="1:91" x14ac:dyDescent="0.25">
      <c r="A63" s="55" t="s">
        <v>644</v>
      </c>
      <c r="B63" s="47"/>
      <c r="C63" s="47"/>
      <c r="D63" s="47"/>
      <c r="E63" s="47" t="s">
        <v>142</v>
      </c>
      <c r="F63" s="47"/>
      <c r="G63" s="47" t="s">
        <v>142</v>
      </c>
      <c r="H63" s="47" t="s">
        <v>142</v>
      </c>
      <c r="I63" s="47"/>
      <c r="J63" s="51"/>
      <c r="K63" s="47" t="s">
        <v>142</v>
      </c>
      <c r="L63" s="51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</row>
    <row r="64" spans="1:91" x14ac:dyDescent="0.25">
      <c r="A64" s="55" t="s">
        <v>643</v>
      </c>
      <c r="B64" s="47"/>
      <c r="C64" s="47"/>
      <c r="D64" s="47"/>
      <c r="E64" s="47" t="s">
        <v>142</v>
      </c>
      <c r="F64" s="47"/>
      <c r="G64" s="47" t="s">
        <v>142</v>
      </c>
      <c r="H64" s="47" t="s">
        <v>142</v>
      </c>
      <c r="I64" s="47"/>
      <c r="J64" s="51"/>
      <c r="K64" s="47" t="s">
        <v>142</v>
      </c>
      <c r="L64" s="51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</row>
    <row r="65" spans="1:91" x14ac:dyDescent="0.25">
      <c r="A65" s="55" t="s">
        <v>642</v>
      </c>
      <c r="B65" s="47"/>
      <c r="C65" s="47"/>
      <c r="D65" s="47"/>
      <c r="E65" s="47" t="s">
        <v>142</v>
      </c>
      <c r="F65" s="47"/>
      <c r="G65" s="47" t="s">
        <v>142</v>
      </c>
      <c r="H65" s="47" t="s">
        <v>142</v>
      </c>
      <c r="I65" s="47"/>
      <c r="J65" s="51"/>
      <c r="K65" s="47" t="s">
        <v>142</v>
      </c>
      <c r="L65" s="51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</row>
    <row r="66" spans="1:91" x14ac:dyDescent="0.25">
      <c r="A66" s="55" t="s">
        <v>641</v>
      </c>
      <c r="B66" s="47">
        <v>10200</v>
      </c>
      <c r="C66" s="47">
        <v>13210</v>
      </c>
      <c r="D66" s="47">
        <v>25120</v>
      </c>
      <c r="E66" s="47">
        <v>13130</v>
      </c>
      <c r="F66" s="47">
        <v>7840</v>
      </c>
      <c r="G66" s="47">
        <v>16160</v>
      </c>
      <c r="H66" s="47">
        <v>6600</v>
      </c>
      <c r="I66" s="47">
        <v>9600</v>
      </c>
      <c r="J66" s="51"/>
      <c r="K66" s="47">
        <v>9700</v>
      </c>
      <c r="L66" s="51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</row>
    <row r="67" spans="1:91" x14ac:dyDescent="0.25">
      <c r="A67" s="55" t="s">
        <v>640</v>
      </c>
      <c r="B67" s="47" t="s">
        <v>142</v>
      </c>
      <c r="C67" s="47">
        <v>9022</v>
      </c>
      <c r="D67" s="47">
        <v>20800</v>
      </c>
      <c r="E67" s="47" t="s">
        <v>142</v>
      </c>
      <c r="F67" s="47" t="s">
        <v>142</v>
      </c>
      <c r="G67" s="47">
        <v>14540</v>
      </c>
      <c r="H67" s="47">
        <v>4470</v>
      </c>
      <c r="I67" s="47">
        <v>8400</v>
      </c>
      <c r="J67" s="51"/>
      <c r="K67" s="47">
        <v>6693</v>
      </c>
      <c r="L67" s="51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</row>
    <row r="68" spans="1:91" x14ac:dyDescent="0.25">
      <c r="A68" s="55" t="s">
        <v>639</v>
      </c>
      <c r="B68" s="47">
        <v>49</v>
      </c>
      <c r="C68" s="47">
        <v>34</v>
      </c>
      <c r="D68" s="47">
        <v>16</v>
      </c>
      <c r="E68" s="47">
        <v>33</v>
      </c>
      <c r="F68" s="47">
        <v>14</v>
      </c>
      <c r="G68" s="47">
        <v>32</v>
      </c>
      <c r="H68" s="47">
        <v>17</v>
      </c>
      <c r="I68" s="47">
        <v>43</v>
      </c>
      <c r="J68" s="51"/>
      <c r="K68" s="47">
        <v>35</v>
      </c>
      <c r="L68" s="51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</row>
    <row r="69" spans="1:91" x14ac:dyDescent="0.25">
      <c r="A69" s="55" t="s">
        <v>638</v>
      </c>
      <c r="B69" s="47">
        <v>5.6</v>
      </c>
      <c r="C69" s="47">
        <v>10.7</v>
      </c>
      <c r="D69" s="47">
        <v>26.4</v>
      </c>
      <c r="E69" s="47">
        <v>13.5</v>
      </c>
      <c r="F69" s="47" t="s">
        <v>142</v>
      </c>
      <c r="G69" s="47">
        <v>12.7</v>
      </c>
      <c r="H69" s="47" t="s">
        <v>142</v>
      </c>
      <c r="I69" s="47">
        <v>8.3000000000000007</v>
      </c>
      <c r="J69" s="51"/>
      <c r="K69" s="47">
        <v>9.9</v>
      </c>
      <c r="L69" s="51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</row>
    <row r="70" spans="1:91" x14ac:dyDescent="0.25">
      <c r="A70" s="55" t="s">
        <v>637</v>
      </c>
      <c r="B70" s="47">
        <v>12.6</v>
      </c>
      <c r="C70" s="47">
        <v>10.5</v>
      </c>
      <c r="D70" s="47">
        <v>10.5</v>
      </c>
      <c r="E70" s="47">
        <v>10.5</v>
      </c>
      <c r="F70" s="47" t="s">
        <v>142</v>
      </c>
      <c r="G70" s="47">
        <v>13.6</v>
      </c>
      <c r="H70" s="47" t="s">
        <v>142</v>
      </c>
      <c r="I70" s="47">
        <v>13.2</v>
      </c>
      <c r="J70" s="51"/>
      <c r="K70" s="47">
        <v>8.6</v>
      </c>
      <c r="L70" s="51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</row>
    <row r="71" spans="1:91" x14ac:dyDescent="0.25">
      <c r="A71" s="55" t="s">
        <v>636</v>
      </c>
      <c r="B71" s="47" t="s">
        <v>142</v>
      </c>
      <c r="C71" s="47">
        <v>2</v>
      </c>
      <c r="D71" s="47">
        <v>3.7</v>
      </c>
      <c r="E71" s="47">
        <v>2.8</v>
      </c>
      <c r="F71" s="47" t="s">
        <v>142</v>
      </c>
      <c r="G71" s="47">
        <v>2.37</v>
      </c>
      <c r="H71" s="47">
        <v>3.6</v>
      </c>
      <c r="I71" s="47">
        <v>1.9</v>
      </c>
      <c r="J71" s="47">
        <v>1.5</v>
      </c>
      <c r="K71" s="47">
        <v>2.0499999999999998</v>
      </c>
      <c r="L71" s="47">
        <v>1.9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8"/>
      <c r="AF71" s="8"/>
      <c r="AG71" s="8"/>
      <c r="AH71" s="8"/>
      <c r="AI71" s="8"/>
      <c r="AJ71" s="8"/>
      <c r="AK71" s="8"/>
      <c r="AL71" s="8"/>
      <c r="AM71" s="10"/>
      <c r="AN71" s="8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</row>
    <row r="72" spans="1:91" x14ac:dyDescent="0.25">
      <c r="A72" s="55" t="s">
        <v>635</v>
      </c>
      <c r="B72" s="47">
        <v>132</v>
      </c>
      <c r="C72" s="47">
        <v>135</v>
      </c>
      <c r="D72" s="47">
        <v>76</v>
      </c>
      <c r="E72" s="47">
        <v>127</v>
      </c>
      <c r="F72" s="47">
        <v>104</v>
      </c>
      <c r="G72" s="47" t="s">
        <v>142</v>
      </c>
      <c r="H72" s="47">
        <v>125</v>
      </c>
      <c r="I72" s="47">
        <v>128</v>
      </c>
      <c r="J72" s="47">
        <v>104</v>
      </c>
      <c r="K72" s="47">
        <v>97</v>
      </c>
      <c r="L72" s="47">
        <v>111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</row>
    <row r="73" spans="1:91" x14ac:dyDescent="0.25">
      <c r="A73" s="55" t="s">
        <v>633</v>
      </c>
      <c r="B73" s="47">
        <v>139</v>
      </c>
      <c r="C73" s="47">
        <v>306</v>
      </c>
      <c r="D73" s="47">
        <v>291</v>
      </c>
      <c r="E73" s="47">
        <v>182</v>
      </c>
      <c r="F73" s="47">
        <v>213</v>
      </c>
      <c r="G73" s="47">
        <v>128</v>
      </c>
      <c r="H73" s="47">
        <v>256</v>
      </c>
      <c r="I73" s="47">
        <v>396</v>
      </c>
      <c r="J73" s="47">
        <v>120</v>
      </c>
      <c r="K73" s="47">
        <v>195</v>
      </c>
      <c r="L73" s="47">
        <v>164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</row>
    <row r="74" spans="1:91" x14ac:dyDescent="0.25">
      <c r="A74" s="55" t="s">
        <v>632</v>
      </c>
      <c r="B74" s="47">
        <v>108</v>
      </c>
      <c r="C74" s="47">
        <v>258</v>
      </c>
      <c r="D74" s="47">
        <v>214</v>
      </c>
      <c r="E74" s="47">
        <v>131</v>
      </c>
      <c r="F74" s="47">
        <v>174</v>
      </c>
      <c r="G74" s="47">
        <v>67</v>
      </c>
      <c r="H74" s="47">
        <v>186</v>
      </c>
      <c r="I74" s="47">
        <v>351</v>
      </c>
      <c r="J74" s="47"/>
      <c r="K74" s="47">
        <v>163</v>
      </c>
      <c r="L74" s="47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</row>
    <row r="75" spans="1:91" x14ac:dyDescent="0.25">
      <c r="A75" s="55" t="s">
        <v>634</v>
      </c>
      <c r="B75" s="47">
        <v>23</v>
      </c>
      <c r="C75" s="47">
        <v>22.5</v>
      </c>
      <c r="D75" s="47">
        <v>23</v>
      </c>
      <c r="E75" s="47">
        <v>14.3</v>
      </c>
      <c r="F75" s="47" t="s">
        <v>142</v>
      </c>
      <c r="G75" s="47">
        <v>20</v>
      </c>
      <c r="H75" s="47">
        <v>40</v>
      </c>
      <c r="I75" s="47">
        <v>34</v>
      </c>
      <c r="J75" s="47" t="s">
        <v>719</v>
      </c>
      <c r="K75" s="47">
        <v>27</v>
      </c>
      <c r="L75" s="47">
        <v>23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9"/>
      <c r="AF75" s="9"/>
      <c r="AG75" s="9"/>
      <c r="AH75" s="9"/>
      <c r="AI75" s="9"/>
      <c r="AJ75" s="9"/>
      <c r="AK75" s="9"/>
      <c r="AL75" s="9"/>
      <c r="AM75" s="11"/>
      <c r="AN75" s="9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</row>
    <row r="76" spans="1:91" x14ac:dyDescent="0.25">
      <c r="A76" s="55" t="s">
        <v>631</v>
      </c>
      <c r="B76" s="47" t="s">
        <v>144</v>
      </c>
      <c r="C76" s="47">
        <v>49.4</v>
      </c>
      <c r="D76" s="47">
        <v>16</v>
      </c>
      <c r="E76" s="47">
        <v>32.6</v>
      </c>
      <c r="F76" s="47" t="s">
        <v>142</v>
      </c>
      <c r="G76" s="47">
        <v>31</v>
      </c>
      <c r="H76" s="47">
        <v>10</v>
      </c>
      <c r="I76" s="47">
        <v>80</v>
      </c>
      <c r="J76" s="51"/>
      <c r="K76" s="47">
        <v>20</v>
      </c>
      <c r="L76" s="51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</row>
    <row r="77" spans="1:91" x14ac:dyDescent="0.25">
      <c r="A77" s="55" t="s">
        <v>630</v>
      </c>
      <c r="B77" s="47">
        <v>6</v>
      </c>
      <c r="C77" s="47">
        <v>9</v>
      </c>
      <c r="D77" s="47">
        <v>21</v>
      </c>
      <c r="E77" s="47">
        <v>16</v>
      </c>
      <c r="F77" s="47">
        <v>7.2</v>
      </c>
      <c r="G77" s="47">
        <v>10.199999999999999</v>
      </c>
      <c r="H77" s="47">
        <v>7.7</v>
      </c>
      <c r="I77" s="47">
        <v>6</v>
      </c>
      <c r="J77" s="51"/>
      <c r="K77" s="47">
        <v>6</v>
      </c>
      <c r="L77" s="51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</row>
    <row r="78" spans="1:91" x14ac:dyDescent="0.25">
      <c r="A78" s="55" t="s">
        <v>629</v>
      </c>
      <c r="B78" s="56">
        <v>39.659999999999997</v>
      </c>
      <c r="C78" s="56">
        <v>79.819999999999993</v>
      </c>
      <c r="D78" s="56">
        <v>150.54</v>
      </c>
      <c r="E78" s="56">
        <v>80.3</v>
      </c>
      <c r="F78" s="56"/>
      <c r="G78" s="56">
        <v>71.22</v>
      </c>
      <c r="H78" s="56"/>
      <c r="I78" s="56">
        <v>77.78</v>
      </c>
      <c r="J78" s="62"/>
      <c r="K78" s="56">
        <v>65.039999999999992</v>
      </c>
      <c r="L78" s="6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</row>
    <row r="79" spans="1:91" x14ac:dyDescent="0.25">
      <c r="A79" s="58" t="s">
        <v>739</v>
      </c>
      <c r="B79" s="59"/>
      <c r="C79" s="59">
        <f>3.78*LN(C73/10)+11.2*LN(C71)+9.57*LN(C77/10)+6.43</f>
        <v>26.116328321288492</v>
      </c>
      <c r="D79" s="59">
        <f>3.78*LN(D73/10)+11.2*LN(D71)+9.57*LN(D77/10)+6.43</f>
        <v>40.925058267532897</v>
      </c>
      <c r="E79" s="59">
        <f>3.78*LN(E73/10)+11.2*LN(E71)+9.57*LN(E77/10)+6.43</f>
        <v>33.427045829943452</v>
      </c>
      <c r="F79" s="59"/>
      <c r="G79" s="59">
        <f>3.78*LN(G73/10)+11.2*LN(G71)+9.57*LN(G77/10)+6.43</f>
        <v>25.920781386969946</v>
      </c>
      <c r="H79" s="59">
        <f>3.78*LN(H73/10)+11.2*LN(H71)+9.57*LN(H77/10)+6.43</f>
        <v>30.532197365024089</v>
      </c>
      <c r="I79" s="59">
        <f>3.78*LN(I73/10)+11.2*LN(I71)+9.57*LN(I77/10)+6.43</f>
        <v>22.636136372714731</v>
      </c>
      <c r="J79" s="59"/>
      <c r="K79" s="59">
        <f>3.78*LN(K73/10)+11.2*LN(K71)+9.57*LN(K77/10)+6.43</f>
        <v>20.809371143696485</v>
      </c>
      <c r="L79" s="59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</row>
    <row r="80" spans="1:91" x14ac:dyDescent="0.25">
      <c r="A80" s="55" t="s">
        <v>740</v>
      </c>
      <c r="B80" s="57"/>
      <c r="C80" s="57">
        <f>(C5*0.1)+C73*0.008+C71*0.8+C77*0.03</f>
        <v>9.5477222222222213</v>
      </c>
      <c r="D80" s="57">
        <f>(D5*0.1)+D73*0.008+D71*0.8+D77*0.03</f>
        <v>10.103000000000002</v>
      </c>
      <c r="E80" s="57">
        <f>(E5*0.1)+E73*0.008+E71*0.8+E77*0.03</f>
        <v>8.7685000000000013</v>
      </c>
      <c r="F80" s="57"/>
      <c r="G80" s="57">
        <f t="shared" ref="G80:L80" si="1">(G5*0.1)+G73*0.008+G71*0.8+G77*0.03</f>
        <v>8.0323888888888888</v>
      </c>
      <c r="H80" s="57">
        <f t="shared" si="1"/>
        <v>9.1940000000000008</v>
      </c>
      <c r="I80" s="57">
        <f t="shared" si="1"/>
        <v>8.7579999999999991</v>
      </c>
      <c r="J80" s="57">
        <f t="shared" si="1"/>
        <v>2.16</v>
      </c>
      <c r="K80" s="57">
        <f t="shared" si="1"/>
        <v>9.8788888888888895</v>
      </c>
      <c r="L80" s="57">
        <f t="shared" si="1"/>
        <v>2.8319999999999999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</row>
    <row r="81" spans="1:91" x14ac:dyDescent="0.25">
      <c r="A81" s="55" t="s">
        <v>628</v>
      </c>
      <c r="B81" s="47"/>
      <c r="C81" s="47"/>
      <c r="D81" s="47"/>
      <c r="E81" s="47" t="s">
        <v>142</v>
      </c>
      <c r="F81" s="47" t="s">
        <v>142</v>
      </c>
      <c r="G81" s="47" t="s">
        <v>142</v>
      </c>
      <c r="H81" s="47" t="s">
        <v>142</v>
      </c>
      <c r="I81" s="47" t="s">
        <v>142</v>
      </c>
      <c r="J81" s="51"/>
      <c r="K81" s="47" t="s">
        <v>142</v>
      </c>
      <c r="L81" s="51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</row>
    <row r="82" spans="1:91" x14ac:dyDescent="0.25">
      <c r="A82" s="55" t="s">
        <v>627</v>
      </c>
      <c r="B82" s="47"/>
      <c r="C82" s="47"/>
      <c r="D82" s="47"/>
      <c r="E82" s="47" t="s">
        <v>142</v>
      </c>
      <c r="F82" s="47" t="s">
        <v>142</v>
      </c>
      <c r="G82" s="47" t="s">
        <v>142</v>
      </c>
      <c r="H82" s="47" t="s">
        <v>142</v>
      </c>
      <c r="I82" s="47" t="s">
        <v>142</v>
      </c>
      <c r="J82" s="51"/>
      <c r="K82" s="47" t="s">
        <v>142</v>
      </c>
      <c r="L82" s="51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</row>
    <row r="83" spans="1:91" x14ac:dyDescent="0.25">
      <c r="A83" s="55" t="s">
        <v>626</v>
      </c>
      <c r="B83" s="47"/>
      <c r="C83" s="47"/>
      <c r="D83" s="47"/>
      <c r="E83" s="47" t="s">
        <v>142</v>
      </c>
      <c r="F83" s="47" t="s">
        <v>142</v>
      </c>
      <c r="G83" s="47" t="s">
        <v>142</v>
      </c>
      <c r="H83" s="47" t="s">
        <v>142</v>
      </c>
      <c r="I83" s="47" t="s">
        <v>142</v>
      </c>
      <c r="J83" s="51"/>
      <c r="K83" s="47" t="s">
        <v>142</v>
      </c>
      <c r="L83" s="51"/>
    </row>
    <row r="84" spans="1:91" x14ac:dyDescent="0.25">
      <c r="A84" s="55" t="s">
        <v>625</v>
      </c>
      <c r="B84" s="47">
        <v>13600</v>
      </c>
      <c r="C84" s="47" t="s">
        <v>142</v>
      </c>
      <c r="D84" s="47">
        <v>25020</v>
      </c>
      <c r="E84" s="47" t="s">
        <v>142</v>
      </c>
      <c r="F84" s="47">
        <v>9150</v>
      </c>
      <c r="G84" s="47">
        <v>20490</v>
      </c>
      <c r="H84" s="47">
        <v>7200</v>
      </c>
      <c r="I84" s="47">
        <v>9690</v>
      </c>
      <c r="J84" s="51"/>
      <c r="K84" s="47"/>
      <c r="L84" s="51"/>
    </row>
    <row r="85" spans="1:91" x14ac:dyDescent="0.25">
      <c r="A85" s="55" t="s">
        <v>624</v>
      </c>
      <c r="B85" s="47">
        <v>9370</v>
      </c>
      <c r="C85" s="47" t="s">
        <v>142</v>
      </c>
      <c r="D85" s="47"/>
      <c r="E85" s="47" t="s">
        <v>142</v>
      </c>
      <c r="F85" s="47" t="s">
        <v>142</v>
      </c>
      <c r="G85" s="47">
        <v>17620</v>
      </c>
      <c r="H85" s="47">
        <v>6400</v>
      </c>
      <c r="I85" s="47">
        <v>8000</v>
      </c>
      <c r="J85" s="51"/>
      <c r="K85" s="47"/>
      <c r="L85" s="51"/>
    </row>
    <row r="86" spans="1:91" x14ac:dyDescent="0.25">
      <c r="A86" s="55" t="s">
        <v>623</v>
      </c>
      <c r="B86" s="47">
        <v>47</v>
      </c>
      <c r="C86" s="47" t="s">
        <v>142</v>
      </c>
      <c r="D86" s="47">
        <v>23</v>
      </c>
      <c r="E86" s="47" t="s">
        <v>142</v>
      </c>
      <c r="F86" s="47">
        <v>14</v>
      </c>
      <c r="G86" s="47">
        <v>19</v>
      </c>
      <c r="H86" s="47">
        <v>19</v>
      </c>
      <c r="I86" s="47">
        <v>26</v>
      </c>
      <c r="J86" s="51"/>
      <c r="K86" s="47"/>
      <c r="L86" s="51"/>
    </row>
    <row r="87" spans="1:91" x14ac:dyDescent="0.25">
      <c r="A87" s="55" t="s">
        <v>622</v>
      </c>
      <c r="B87" s="47">
        <v>7.6</v>
      </c>
      <c r="C87" s="47" t="s">
        <v>142</v>
      </c>
      <c r="D87" s="47">
        <v>16.7</v>
      </c>
      <c r="E87" s="47" t="s">
        <v>142</v>
      </c>
      <c r="F87" s="47" t="s">
        <v>142</v>
      </c>
      <c r="G87" s="47">
        <v>25.1</v>
      </c>
      <c r="H87" s="47" t="s">
        <v>142</v>
      </c>
      <c r="I87" s="47">
        <v>15.9</v>
      </c>
      <c r="J87" s="51"/>
      <c r="K87" s="47"/>
      <c r="L87" s="51"/>
    </row>
    <row r="88" spans="1:91" x14ac:dyDescent="0.25">
      <c r="A88" s="55" t="s">
        <v>611</v>
      </c>
      <c r="B88" s="47">
        <v>12.6</v>
      </c>
      <c r="C88" s="47" t="s">
        <v>142</v>
      </c>
      <c r="D88" s="47">
        <v>10.5</v>
      </c>
      <c r="E88" s="47" t="s">
        <v>142</v>
      </c>
      <c r="F88" s="47" t="s">
        <v>142</v>
      </c>
      <c r="G88" s="47">
        <v>13.6</v>
      </c>
      <c r="H88" s="47" t="s">
        <v>142</v>
      </c>
      <c r="I88" s="47">
        <v>11</v>
      </c>
      <c r="J88" s="51"/>
      <c r="K88" s="47"/>
      <c r="L88" s="51"/>
    </row>
    <row r="89" spans="1:91" x14ac:dyDescent="0.25">
      <c r="A89" s="55" t="s">
        <v>621</v>
      </c>
      <c r="B89" s="47" t="s">
        <v>144</v>
      </c>
      <c r="C89" s="47" t="s">
        <v>142</v>
      </c>
      <c r="D89" s="47">
        <v>2.7</v>
      </c>
      <c r="E89" s="47" t="s">
        <v>142</v>
      </c>
      <c r="F89" s="47" t="s">
        <v>142</v>
      </c>
      <c r="G89" s="47">
        <v>3.94</v>
      </c>
      <c r="H89" s="47" t="s">
        <v>142</v>
      </c>
      <c r="I89" s="47">
        <v>2.5</v>
      </c>
      <c r="J89" s="51"/>
      <c r="K89" s="47"/>
      <c r="L89" s="51"/>
    </row>
    <row r="90" spans="1:91" x14ac:dyDescent="0.25">
      <c r="A90" s="55" t="s">
        <v>620</v>
      </c>
      <c r="B90" s="47">
        <v>128</v>
      </c>
      <c r="C90" s="47" t="s">
        <v>142</v>
      </c>
      <c r="D90" s="47">
        <v>64</v>
      </c>
      <c r="E90" s="47" t="s">
        <v>142</v>
      </c>
      <c r="F90" s="47">
        <v>140</v>
      </c>
      <c r="G90" s="47">
        <v>135</v>
      </c>
      <c r="H90" s="47">
        <v>99</v>
      </c>
      <c r="I90" s="47">
        <v>127</v>
      </c>
      <c r="J90" s="51"/>
      <c r="K90" s="47"/>
      <c r="L90" s="51"/>
    </row>
    <row r="91" spans="1:91" x14ac:dyDescent="0.25">
      <c r="A91" s="55" t="s">
        <v>619</v>
      </c>
      <c r="B91" s="47">
        <v>23</v>
      </c>
      <c r="C91" s="47" t="s">
        <v>142</v>
      </c>
      <c r="D91" s="47">
        <v>30</v>
      </c>
      <c r="E91" s="47" t="s">
        <v>142</v>
      </c>
      <c r="F91" s="47" t="s">
        <v>142</v>
      </c>
      <c r="G91" s="47">
        <v>22</v>
      </c>
      <c r="H91" s="47" t="s">
        <v>142</v>
      </c>
      <c r="I91" s="47" t="s">
        <v>142</v>
      </c>
      <c r="J91" s="51"/>
      <c r="K91" s="47"/>
      <c r="L91" s="51"/>
    </row>
    <row r="92" spans="1:91" x14ac:dyDescent="0.25">
      <c r="A92" s="55" t="s">
        <v>618</v>
      </c>
      <c r="B92" s="47">
        <v>173</v>
      </c>
      <c r="C92" s="47" t="s">
        <v>142</v>
      </c>
      <c r="D92" s="47">
        <v>396</v>
      </c>
      <c r="E92" s="47" t="s">
        <v>142</v>
      </c>
      <c r="F92" s="47">
        <v>248.8</v>
      </c>
      <c r="G92" s="47">
        <v>125</v>
      </c>
      <c r="H92" s="47">
        <v>276</v>
      </c>
      <c r="I92" s="47">
        <v>474</v>
      </c>
      <c r="J92" s="51"/>
      <c r="K92" s="47"/>
      <c r="L92" s="51"/>
    </row>
    <row r="93" spans="1:91" x14ac:dyDescent="0.25">
      <c r="A93" s="55" t="s">
        <v>617</v>
      </c>
      <c r="B93" s="47" t="s">
        <v>144</v>
      </c>
      <c r="C93" s="47" t="s">
        <v>142</v>
      </c>
      <c r="D93" s="47">
        <v>8</v>
      </c>
      <c r="E93" s="47" t="s">
        <v>142</v>
      </c>
      <c r="F93" s="47">
        <v>20.9</v>
      </c>
      <c r="G93" s="47">
        <v>26.3</v>
      </c>
      <c r="H93" s="47">
        <v>9</v>
      </c>
      <c r="I93" s="47">
        <v>29</v>
      </c>
      <c r="J93" s="51"/>
      <c r="K93" s="47"/>
      <c r="L93" s="51"/>
    </row>
    <row r="94" spans="1:91" x14ac:dyDescent="0.25">
      <c r="A94" s="55" t="s">
        <v>616</v>
      </c>
      <c r="B94" s="47">
        <v>6</v>
      </c>
      <c r="C94" s="47" t="s">
        <v>142</v>
      </c>
      <c r="D94" s="47">
        <v>19</v>
      </c>
      <c r="E94" s="47" t="s">
        <v>142</v>
      </c>
      <c r="F94" s="47">
        <v>15.1</v>
      </c>
      <c r="G94" s="47">
        <v>9</v>
      </c>
      <c r="H94" s="47">
        <v>7.8</v>
      </c>
      <c r="I94" s="47">
        <v>39</v>
      </c>
      <c r="J94" s="51"/>
      <c r="K94" s="47"/>
      <c r="L94" s="51"/>
    </row>
    <row r="95" spans="1:91" x14ac:dyDescent="0.25">
      <c r="A95" s="55" t="s">
        <v>615</v>
      </c>
      <c r="B95" s="47">
        <v>52.259999999999991</v>
      </c>
      <c r="C95" s="47" t="s">
        <v>142</v>
      </c>
      <c r="D95" s="47">
        <v>116.41999999999999</v>
      </c>
      <c r="E95" s="47" t="s">
        <v>142</v>
      </c>
      <c r="F95" s="47"/>
      <c r="G95" s="47">
        <v>127.96</v>
      </c>
      <c r="H95" s="47"/>
      <c r="I95" s="47">
        <v>120.53999999999999</v>
      </c>
      <c r="J95" s="51"/>
      <c r="K95" s="47"/>
      <c r="L95" s="51"/>
    </row>
    <row r="96" spans="1:91" x14ac:dyDescent="0.25">
      <c r="A96" s="55" t="s">
        <v>614</v>
      </c>
      <c r="B96" s="47">
        <v>12400</v>
      </c>
      <c r="C96" s="47">
        <v>32410</v>
      </c>
      <c r="D96" s="47">
        <v>25660</v>
      </c>
      <c r="E96" s="47">
        <v>13680</v>
      </c>
      <c r="F96" s="47">
        <v>7250</v>
      </c>
      <c r="G96" s="47">
        <v>21520</v>
      </c>
      <c r="H96" s="47">
        <v>12500</v>
      </c>
      <c r="I96" s="47">
        <v>20460</v>
      </c>
      <c r="J96" s="51"/>
      <c r="K96" s="47">
        <v>11700</v>
      </c>
      <c r="L96" s="51"/>
    </row>
    <row r="97" spans="1:12" x14ac:dyDescent="0.25">
      <c r="A97" s="55" t="s">
        <v>613</v>
      </c>
      <c r="B97" s="47">
        <v>8035</v>
      </c>
      <c r="C97" s="47" t="s">
        <v>142</v>
      </c>
      <c r="D97" s="47"/>
      <c r="E97" s="47" t="s">
        <v>142</v>
      </c>
      <c r="F97" s="47" t="s">
        <v>142</v>
      </c>
      <c r="G97" s="47">
        <v>18940</v>
      </c>
      <c r="H97" s="47">
        <v>9730</v>
      </c>
      <c r="I97" s="47" t="s">
        <v>142</v>
      </c>
      <c r="J97" s="51"/>
      <c r="K97" s="47">
        <v>9126</v>
      </c>
      <c r="L97" s="51"/>
    </row>
    <row r="98" spans="1:12" x14ac:dyDescent="0.25">
      <c r="A98" s="55" t="s">
        <v>612</v>
      </c>
      <c r="B98" s="47">
        <v>50</v>
      </c>
      <c r="C98" s="47">
        <v>39</v>
      </c>
      <c r="D98" s="47">
        <v>30</v>
      </c>
      <c r="E98" s="47">
        <v>31</v>
      </c>
      <c r="F98" s="47">
        <v>16</v>
      </c>
      <c r="G98" s="47">
        <v>20</v>
      </c>
      <c r="H98" s="47">
        <v>20</v>
      </c>
      <c r="I98" s="47">
        <v>23</v>
      </c>
      <c r="J98" s="51"/>
      <c r="K98" s="47">
        <v>30</v>
      </c>
      <c r="L98" s="51"/>
    </row>
    <row r="99" spans="1:12" x14ac:dyDescent="0.25">
      <c r="A99" s="55" t="s">
        <v>564</v>
      </c>
      <c r="B99" s="47">
        <v>55</v>
      </c>
      <c r="C99" s="47">
        <v>7.9</v>
      </c>
      <c r="D99" s="47">
        <v>11.7</v>
      </c>
      <c r="E99" s="47">
        <v>13.5</v>
      </c>
      <c r="F99" s="47" t="s">
        <v>142</v>
      </c>
      <c r="G99" s="47">
        <v>23.7</v>
      </c>
      <c r="H99" s="47" t="s">
        <v>142</v>
      </c>
      <c r="I99" s="47">
        <v>19.5</v>
      </c>
      <c r="J99" s="51"/>
      <c r="K99" s="47">
        <v>12.1</v>
      </c>
      <c r="L99" s="51"/>
    </row>
    <row r="100" spans="1:12" x14ac:dyDescent="0.25">
      <c r="A100" s="55" t="s">
        <v>611</v>
      </c>
      <c r="B100" s="47">
        <v>12.6</v>
      </c>
      <c r="C100" s="47">
        <v>10.5</v>
      </c>
      <c r="D100" s="47">
        <v>10.5</v>
      </c>
      <c r="E100" s="47">
        <v>10.5</v>
      </c>
      <c r="F100" s="47" t="s">
        <v>142</v>
      </c>
      <c r="G100" s="47">
        <v>13.6</v>
      </c>
      <c r="H100" s="47" t="s">
        <v>142</v>
      </c>
      <c r="I100" s="47">
        <v>11</v>
      </c>
      <c r="J100" s="51"/>
      <c r="K100" s="47">
        <v>8.6</v>
      </c>
      <c r="L100" s="51"/>
    </row>
    <row r="101" spans="1:12" x14ac:dyDescent="0.25">
      <c r="A101" s="55" t="s">
        <v>610</v>
      </c>
      <c r="B101" s="47" t="s">
        <v>144</v>
      </c>
      <c r="C101" s="47">
        <v>2.2999999999999998</v>
      </c>
      <c r="D101" s="47">
        <v>2.2000000000000002</v>
      </c>
      <c r="E101" s="47">
        <v>2.1</v>
      </c>
      <c r="F101" s="47" t="s">
        <v>142</v>
      </c>
      <c r="G101" s="47">
        <v>3.75</v>
      </c>
      <c r="H101" s="47">
        <v>3.6</v>
      </c>
      <c r="I101" s="47">
        <v>2.7</v>
      </c>
      <c r="J101" s="51"/>
      <c r="K101" s="47">
        <v>2.2799999999999998</v>
      </c>
      <c r="L101" s="51"/>
    </row>
    <row r="102" spans="1:12" x14ac:dyDescent="0.25">
      <c r="A102" s="55" t="s">
        <v>609</v>
      </c>
      <c r="B102" s="47">
        <v>121</v>
      </c>
      <c r="C102" s="47">
        <v>150</v>
      </c>
      <c r="D102" s="47">
        <v>72</v>
      </c>
      <c r="E102" s="47" t="s">
        <v>142</v>
      </c>
      <c r="F102" s="47">
        <v>84</v>
      </c>
      <c r="G102" s="47">
        <v>101</v>
      </c>
      <c r="H102" s="47">
        <v>151</v>
      </c>
      <c r="I102" s="47">
        <v>115</v>
      </c>
      <c r="J102" s="51"/>
      <c r="K102" s="47">
        <v>131</v>
      </c>
      <c r="L102" s="51"/>
    </row>
    <row r="103" spans="1:12" x14ac:dyDescent="0.25">
      <c r="A103" s="55" t="s">
        <v>608</v>
      </c>
      <c r="B103" s="47">
        <v>20</v>
      </c>
      <c r="C103" s="47">
        <v>19.899999999999999</v>
      </c>
      <c r="D103" s="47">
        <v>37</v>
      </c>
      <c r="E103" s="47">
        <v>19.5</v>
      </c>
      <c r="F103" s="47">
        <v>32</v>
      </c>
      <c r="G103" s="47">
        <v>21</v>
      </c>
      <c r="H103" s="47" t="s">
        <v>142</v>
      </c>
      <c r="I103" s="47" t="s">
        <v>142</v>
      </c>
      <c r="J103" s="51"/>
      <c r="K103" s="47">
        <v>23.9</v>
      </c>
      <c r="L103" s="51"/>
    </row>
    <row r="104" spans="1:12" x14ac:dyDescent="0.25">
      <c r="A104" s="55" t="s">
        <v>607</v>
      </c>
      <c r="B104" s="47">
        <v>205</v>
      </c>
      <c r="C104" s="47">
        <v>274</v>
      </c>
      <c r="D104" s="47">
        <v>487</v>
      </c>
      <c r="E104" s="47">
        <v>217</v>
      </c>
      <c r="F104" s="47">
        <v>291</v>
      </c>
      <c r="G104" s="47">
        <v>132</v>
      </c>
      <c r="H104" s="47">
        <v>390</v>
      </c>
      <c r="I104" s="47">
        <v>542</v>
      </c>
      <c r="J104" s="51"/>
      <c r="K104" s="47">
        <v>222</v>
      </c>
      <c r="L104" s="51"/>
    </row>
    <row r="105" spans="1:12" x14ac:dyDescent="0.25">
      <c r="A105" s="55" t="s">
        <v>606</v>
      </c>
      <c r="B105" s="47">
        <v>-66</v>
      </c>
      <c r="C105" s="47">
        <v>32</v>
      </c>
      <c r="D105" s="47">
        <v>-196</v>
      </c>
      <c r="E105" s="47">
        <v>-35</v>
      </c>
      <c r="F105" s="47">
        <v>-78</v>
      </c>
      <c r="G105" s="47">
        <v>-4</v>
      </c>
      <c r="H105" s="47">
        <v>-134</v>
      </c>
      <c r="I105" s="47">
        <v>-146</v>
      </c>
      <c r="J105" s="51"/>
      <c r="K105" s="47">
        <v>-27</v>
      </c>
      <c r="L105" s="51"/>
    </row>
    <row r="106" spans="1:12" x14ac:dyDescent="0.25">
      <c r="A106" s="55" t="s">
        <v>605</v>
      </c>
      <c r="B106" s="47">
        <v>0</v>
      </c>
      <c r="C106" s="47">
        <v>0</v>
      </c>
      <c r="D106" s="47">
        <v>0</v>
      </c>
      <c r="E106" s="47">
        <v>0</v>
      </c>
      <c r="F106" s="47">
        <v>0</v>
      </c>
      <c r="G106" s="47">
        <v>0</v>
      </c>
      <c r="H106" s="47">
        <v>0</v>
      </c>
      <c r="I106" s="47">
        <v>0</v>
      </c>
      <c r="J106" s="51"/>
      <c r="K106" s="47">
        <v>0</v>
      </c>
      <c r="L106" s="51"/>
    </row>
    <row r="107" spans="1:12" x14ac:dyDescent="0.25">
      <c r="A107" s="55" t="s">
        <v>604</v>
      </c>
      <c r="B107" s="47">
        <v>21</v>
      </c>
      <c r="C107" s="47" t="s">
        <v>142</v>
      </c>
      <c r="D107" s="47">
        <v>9</v>
      </c>
      <c r="E107" s="47">
        <v>11.6</v>
      </c>
      <c r="F107" s="47">
        <v>14.4</v>
      </c>
      <c r="G107" s="47">
        <v>14.9</v>
      </c>
      <c r="H107" s="47">
        <v>11</v>
      </c>
      <c r="I107" s="47">
        <v>24</v>
      </c>
      <c r="J107" s="51"/>
      <c r="K107" s="47">
        <v>20</v>
      </c>
      <c r="L107" s="51"/>
    </row>
    <row r="108" spans="1:12" x14ac:dyDescent="0.25">
      <c r="A108" s="55" t="s">
        <v>603</v>
      </c>
      <c r="B108" s="47">
        <v>7</v>
      </c>
      <c r="C108" s="47">
        <v>5</v>
      </c>
      <c r="D108" s="47">
        <v>15</v>
      </c>
      <c r="E108" s="47">
        <v>9</v>
      </c>
      <c r="F108" s="47">
        <v>14.5</v>
      </c>
      <c r="G108" s="47">
        <v>9</v>
      </c>
      <c r="H108" s="47">
        <v>10</v>
      </c>
      <c r="I108" s="47">
        <v>45</v>
      </c>
      <c r="J108" s="51"/>
      <c r="K108" s="47">
        <v>7</v>
      </c>
      <c r="L108" s="51"/>
    </row>
    <row r="109" spans="1:12" x14ac:dyDescent="0.25">
      <c r="A109" s="55" t="s">
        <v>602</v>
      </c>
      <c r="B109" s="47"/>
      <c r="C109" s="47" t="s">
        <v>142</v>
      </c>
      <c r="D109" s="47"/>
      <c r="E109" s="47" t="s">
        <v>142</v>
      </c>
      <c r="F109" s="47" t="s">
        <v>142</v>
      </c>
      <c r="G109" s="47" t="s">
        <v>142</v>
      </c>
      <c r="H109" s="47" t="s">
        <v>142</v>
      </c>
      <c r="I109" s="47" t="s">
        <v>142</v>
      </c>
      <c r="J109" s="51"/>
      <c r="K109" s="47" t="s">
        <v>142</v>
      </c>
      <c r="L109" s="51"/>
    </row>
    <row r="110" spans="1:12" x14ac:dyDescent="0.25">
      <c r="A110" s="55" t="s">
        <v>601</v>
      </c>
      <c r="B110" s="47">
        <v>7.81</v>
      </c>
      <c r="C110" s="47" t="s">
        <v>142</v>
      </c>
      <c r="D110" s="47"/>
      <c r="E110" s="47" t="s">
        <v>142</v>
      </c>
      <c r="F110" s="47" t="s">
        <v>142</v>
      </c>
      <c r="G110" s="47" t="s">
        <v>142</v>
      </c>
      <c r="H110" s="47" t="s">
        <v>142</v>
      </c>
      <c r="I110" s="47" t="s">
        <v>142</v>
      </c>
      <c r="J110" s="51"/>
      <c r="K110" s="47" t="s">
        <v>142</v>
      </c>
      <c r="L110" s="51"/>
    </row>
    <row r="111" spans="1:12" x14ac:dyDescent="0.25">
      <c r="A111" s="55" t="s">
        <v>600</v>
      </c>
      <c r="B111" s="47">
        <v>377</v>
      </c>
      <c r="C111" s="47" t="s">
        <v>142</v>
      </c>
      <c r="D111" s="47"/>
      <c r="E111" s="47" t="s">
        <v>142</v>
      </c>
      <c r="F111" s="47" t="s">
        <v>142</v>
      </c>
      <c r="G111" s="47" t="s">
        <v>142</v>
      </c>
      <c r="H111" s="47" t="s">
        <v>142</v>
      </c>
      <c r="I111" s="47" t="s">
        <v>142</v>
      </c>
      <c r="J111" s="51"/>
      <c r="K111" s="47" t="s">
        <v>142</v>
      </c>
      <c r="L111" s="51"/>
    </row>
    <row r="112" spans="1:12" x14ac:dyDescent="0.25">
      <c r="A112" s="55" t="s">
        <v>599</v>
      </c>
      <c r="B112" s="47">
        <v>0.80592527747126663</v>
      </c>
      <c r="C112" s="47">
        <v>0.81332162905826422</v>
      </c>
      <c r="D112" s="47">
        <v>0.99902240791920116</v>
      </c>
      <c r="E112" s="47">
        <v>0.94134158319034711</v>
      </c>
      <c r="F112" s="47"/>
      <c r="G112" s="47">
        <v>0.62328918721728943</v>
      </c>
      <c r="H112" s="47"/>
      <c r="I112" s="47">
        <v>0.98809005409396178</v>
      </c>
      <c r="J112" s="51"/>
      <c r="K112" s="47">
        <v>0.92376082677768212</v>
      </c>
      <c r="L112" s="51"/>
    </row>
    <row r="113" spans="1:12" x14ac:dyDescent="0.25">
      <c r="A113" s="55" t="s">
        <v>598</v>
      </c>
      <c r="B113" s="47">
        <v>15400</v>
      </c>
      <c r="C113" s="47">
        <v>29500</v>
      </c>
      <c r="D113" s="47">
        <v>33630</v>
      </c>
      <c r="E113" s="47">
        <v>11600</v>
      </c>
      <c r="F113" s="47">
        <v>8080</v>
      </c>
      <c r="G113" s="47">
        <v>17630</v>
      </c>
      <c r="H113" s="47">
        <v>15440</v>
      </c>
      <c r="I113" s="47"/>
      <c r="J113" s="51"/>
      <c r="K113" s="47">
        <v>10140</v>
      </c>
      <c r="L113" s="51"/>
    </row>
    <row r="114" spans="1:12" x14ac:dyDescent="0.25">
      <c r="A114" s="55" t="s">
        <v>597</v>
      </c>
      <c r="B114" s="47">
        <v>13900</v>
      </c>
      <c r="C114" s="47" t="s">
        <v>142</v>
      </c>
      <c r="D114" s="47"/>
      <c r="E114" s="47">
        <v>9500</v>
      </c>
      <c r="F114" s="47" t="s">
        <v>142</v>
      </c>
      <c r="G114" s="47">
        <v>16400</v>
      </c>
      <c r="H114" s="47">
        <v>13800</v>
      </c>
      <c r="I114" s="47"/>
      <c r="J114" s="51"/>
      <c r="K114" s="47">
        <v>7600</v>
      </c>
      <c r="L114" s="51"/>
    </row>
    <row r="115" spans="1:12" x14ac:dyDescent="0.25">
      <c r="A115" s="55" t="s">
        <v>596</v>
      </c>
      <c r="B115" s="47">
        <v>40</v>
      </c>
      <c r="C115" s="47">
        <v>40</v>
      </c>
      <c r="D115" s="47">
        <v>25</v>
      </c>
      <c r="E115" s="47">
        <v>36</v>
      </c>
      <c r="F115" s="47">
        <v>22</v>
      </c>
      <c r="G115" s="47">
        <v>25</v>
      </c>
      <c r="H115" s="47">
        <v>28</v>
      </c>
      <c r="I115" s="47"/>
      <c r="J115" s="51"/>
      <c r="K115" s="47">
        <v>34</v>
      </c>
      <c r="L115" s="51"/>
    </row>
    <row r="116" spans="1:12" x14ac:dyDescent="0.25">
      <c r="A116" s="55" t="s">
        <v>586</v>
      </c>
      <c r="B116" s="47">
        <v>10.5</v>
      </c>
      <c r="C116" s="47">
        <v>10.5</v>
      </c>
      <c r="D116" s="47">
        <v>10.5</v>
      </c>
      <c r="E116" s="47">
        <v>10.5</v>
      </c>
      <c r="F116" s="47">
        <v>11</v>
      </c>
      <c r="G116" s="47">
        <v>18.600000000000001</v>
      </c>
      <c r="H116" s="47">
        <v>11</v>
      </c>
      <c r="I116" s="47"/>
      <c r="J116" s="51"/>
      <c r="K116" s="47">
        <v>10.5</v>
      </c>
      <c r="L116" s="51"/>
    </row>
    <row r="117" spans="1:12" x14ac:dyDescent="0.25">
      <c r="A117" s="55" t="s">
        <v>564</v>
      </c>
      <c r="B117" s="47">
        <v>6.7</v>
      </c>
      <c r="C117" s="47">
        <v>6.7</v>
      </c>
      <c r="D117" s="47">
        <v>15.2</v>
      </c>
      <c r="E117" s="47">
        <v>9</v>
      </c>
      <c r="F117" s="47">
        <v>21</v>
      </c>
      <c r="G117" s="47">
        <v>13.6</v>
      </c>
      <c r="H117" s="47">
        <v>14.3</v>
      </c>
      <c r="I117" s="47"/>
      <c r="J117" s="51"/>
      <c r="K117" s="47">
        <v>11.2</v>
      </c>
      <c r="L117" s="51"/>
    </row>
    <row r="118" spans="1:12" x14ac:dyDescent="0.25">
      <c r="A118" s="55" t="s">
        <v>595</v>
      </c>
      <c r="B118" s="47">
        <v>1.6</v>
      </c>
      <c r="C118" s="47">
        <v>1.6</v>
      </c>
      <c r="D118" s="47"/>
      <c r="E118" s="47">
        <v>1.8</v>
      </c>
      <c r="F118" s="47">
        <v>2.9</v>
      </c>
      <c r="G118" s="47">
        <v>3.09</v>
      </c>
      <c r="H118" s="47">
        <v>2.2999999999999998</v>
      </c>
      <c r="I118" s="47"/>
      <c r="J118" s="51"/>
      <c r="K118" s="47">
        <v>2</v>
      </c>
      <c r="L118" s="51"/>
    </row>
    <row r="119" spans="1:12" x14ac:dyDescent="0.25">
      <c r="A119" s="55" t="s">
        <v>594</v>
      </c>
      <c r="B119" s="47">
        <v>114</v>
      </c>
      <c r="C119" s="47">
        <v>217</v>
      </c>
      <c r="D119" s="47">
        <v>63</v>
      </c>
      <c r="E119" s="47">
        <v>113</v>
      </c>
      <c r="F119" s="47">
        <v>59</v>
      </c>
      <c r="G119" s="47">
        <v>90</v>
      </c>
      <c r="H119" s="47">
        <v>244</v>
      </c>
      <c r="I119" s="47"/>
      <c r="J119" s="51"/>
      <c r="K119" s="47">
        <v>96</v>
      </c>
      <c r="L119" s="51"/>
    </row>
    <row r="120" spans="1:12" x14ac:dyDescent="0.25">
      <c r="A120" s="55" t="s">
        <v>593</v>
      </c>
      <c r="B120" s="47" t="s">
        <v>144</v>
      </c>
      <c r="C120" s="47">
        <v>29.2</v>
      </c>
      <c r="D120" s="47">
        <v>39</v>
      </c>
      <c r="E120" s="47">
        <v>22</v>
      </c>
      <c r="F120" s="47" t="s">
        <v>142</v>
      </c>
      <c r="G120" s="47">
        <v>23</v>
      </c>
      <c r="H120" s="47">
        <v>30</v>
      </c>
      <c r="I120" s="47"/>
      <c r="J120" s="51"/>
      <c r="K120" s="47">
        <v>21</v>
      </c>
      <c r="L120" s="51"/>
    </row>
    <row r="121" spans="1:12" x14ac:dyDescent="0.25">
      <c r="A121" s="55" t="s">
        <v>592</v>
      </c>
      <c r="B121" s="47">
        <v>321</v>
      </c>
      <c r="C121" s="47">
        <v>382.1</v>
      </c>
      <c r="D121" s="47">
        <v>510</v>
      </c>
      <c r="E121" s="47">
        <v>236</v>
      </c>
      <c r="F121" s="47">
        <v>219</v>
      </c>
      <c r="G121" s="47">
        <v>130</v>
      </c>
      <c r="H121" s="47">
        <v>492</v>
      </c>
      <c r="I121" s="47"/>
      <c r="J121" s="51"/>
      <c r="K121" s="47">
        <v>237</v>
      </c>
      <c r="L121" s="51"/>
    </row>
    <row r="122" spans="1:12" x14ac:dyDescent="0.25">
      <c r="A122" s="55" t="s">
        <v>591</v>
      </c>
      <c r="B122" s="47">
        <v>22</v>
      </c>
      <c r="C122" s="47" t="s">
        <v>142</v>
      </c>
      <c r="D122" s="47">
        <v>12</v>
      </c>
      <c r="E122" s="47">
        <v>23</v>
      </c>
      <c r="F122" s="47" t="s">
        <v>142</v>
      </c>
      <c r="G122" s="47">
        <v>21.7</v>
      </c>
      <c r="H122" s="47">
        <v>16</v>
      </c>
      <c r="I122" s="47"/>
      <c r="J122" s="51"/>
      <c r="K122" s="47">
        <v>26</v>
      </c>
      <c r="L122" s="51"/>
    </row>
    <row r="123" spans="1:12" x14ac:dyDescent="0.25">
      <c r="A123" s="55" t="s">
        <v>590</v>
      </c>
      <c r="B123" s="47">
        <v>10</v>
      </c>
      <c r="C123" s="47">
        <v>7.9</v>
      </c>
      <c r="D123" s="47">
        <v>13</v>
      </c>
      <c r="E123" s="47">
        <v>8</v>
      </c>
      <c r="F123" s="47">
        <v>9</v>
      </c>
      <c r="G123" s="47">
        <v>14.3</v>
      </c>
      <c r="H123" s="47">
        <v>35</v>
      </c>
      <c r="I123" s="47"/>
      <c r="J123" s="51"/>
      <c r="K123" s="47">
        <v>11</v>
      </c>
      <c r="L123" s="51"/>
    </row>
    <row r="124" spans="1:12" x14ac:dyDescent="0.25">
      <c r="A124" s="55" t="s">
        <v>589</v>
      </c>
      <c r="B124" s="47">
        <v>5970</v>
      </c>
      <c r="C124" s="47">
        <v>17790</v>
      </c>
      <c r="D124" s="47">
        <v>25130</v>
      </c>
      <c r="E124" s="47">
        <v>7900</v>
      </c>
      <c r="F124" s="47">
        <v>4790</v>
      </c>
      <c r="G124" s="47">
        <v>9680</v>
      </c>
      <c r="H124" s="47">
        <v>13690</v>
      </c>
      <c r="I124" s="47"/>
      <c r="J124" s="51"/>
      <c r="K124" s="47">
        <v>10180</v>
      </c>
      <c r="L124" s="51"/>
    </row>
    <row r="125" spans="1:12" x14ac:dyDescent="0.25">
      <c r="A125" s="55" t="s">
        <v>588</v>
      </c>
      <c r="B125" s="47" t="s">
        <v>142</v>
      </c>
      <c r="C125" s="47" t="s">
        <v>142</v>
      </c>
      <c r="D125" s="47"/>
      <c r="E125" s="47">
        <v>7200</v>
      </c>
      <c r="F125" s="47" t="s">
        <v>142</v>
      </c>
      <c r="G125" s="47">
        <v>7600</v>
      </c>
      <c r="H125" s="47">
        <v>12300</v>
      </c>
      <c r="I125" s="47"/>
      <c r="J125" s="51"/>
      <c r="K125" s="47">
        <v>7500</v>
      </c>
      <c r="L125" s="51"/>
    </row>
    <row r="126" spans="1:12" x14ac:dyDescent="0.25">
      <c r="A126" s="55" t="s">
        <v>587</v>
      </c>
      <c r="B126" s="47">
        <v>31</v>
      </c>
      <c r="C126" s="47">
        <v>41</v>
      </c>
      <c r="D126" s="47">
        <v>28</v>
      </c>
      <c r="E126" s="47">
        <v>34</v>
      </c>
      <c r="F126" s="47">
        <v>10</v>
      </c>
      <c r="G126" s="47">
        <v>36</v>
      </c>
      <c r="H126" s="47">
        <v>36</v>
      </c>
      <c r="I126" s="47"/>
      <c r="J126" s="51"/>
      <c r="K126" s="47">
        <v>38</v>
      </c>
      <c r="L126" s="51"/>
    </row>
    <row r="127" spans="1:12" x14ac:dyDescent="0.25">
      <c r="A127" s="55" t="s">
        <v>586</v>
      </c>
      <c r="B127" s="47" t="s">
        <v>142</v>
      </c>
      <c r="C127" s="47">
        <v>10.5</v>
      </c>
      <c r="D127" s="47">
        <v>13.1</v>
      </c>
      <c r="E127" s="47">
        <v>10.5</v>
      </c>
      <c r="F127" s="47">
        <v>70</v>
      </c>
      <c r="G127" s="47">
        <v>11</v>
      </c>
      <c r="H127" s="47">
        <v>11</v>
      </c>
      <c r="I127" s="47"/>
      <c r="J127" s="51"/>
      <c r="K127" s="47">
        <v>10.5</v>
      </c>
      <c r="L127" s="51"/>
    </row>
    <row r="128" spans="1:12" x14ac:dyDescent="0.25">
      <c r="A128" s="55" t="s">
        <v>564</v>
      </c>
      <c r="B128" s="47" t="s">
        <v>142</v>
      </c>
      <c r="C128" s="47">
        <v>6.5</v>
      </c>
      <c r="D128" s="47">
        <v>10.5</v>
      </c>
      <c r="E128" s="47">
        <v>9.9</v>
      </c>
      <c r="F128" s="47">
        <v>11</v>
      </c>
      <c r="G128" s="47">
        <v>9.3000000000000007</v>
      </c>
      <c r="H128" s="47">
        <v>9.5</v>
      </c>
      <c r="I128" s="47"/>
      <c r="J128" s="51"/>
      <c r="K128" s="47">
        <v>9.8000000000000007</v>
      </c>
      <c r="L128" s="51"/>
    </row>
    <row r="129" spans="1:12" x14ac:dyDescent="0.25">
      <c r="A129" s="55" t="s">
        <v>585</v>
      </c>
      <c r="B129" s="47">
        <v>2.1</v>
      </c>
      <c r="C129" s="47">
        <v>1.6</v>
      </c>
      <c r="D129" s="47">
        <v>2.2999999999999998</v>
      </c>
      <c r="E129" s="47">
        <v>1.9</v>
      </c>
      <c r="F129" s="47">
        <v>8</v>
      </c>
      <c r="G129" s="47">
        <v>1.8</v>
      </c>
      <c r="H129" s="47">
        <v>1.9</v>
      </c>
      <c r="I129" s="47"/>
      <c r="J129" s="51"/>
      <c r="K129" s="47">
        <v>1.9</v>
      </c>
      <c r="L129" s="51"/>
    </row>
    <row r="130" spans="1:12" x14ac:dyDescent="0.25">
      <c r="A130" s="55" t="s">
        <v>584</v>
      </c>
      <c r="B130" s="47">
        <v>67</v>
      </c>
      <c r="C130" s="47">
        <v>74</v>
      </c>
      <c r="D130" s="47">
        <v>54</v>
      </c>
      <c r="E130" s="47">
        <v>132</v>
      </c>
      <c r="F130" s="47">
        <v>53</v>
      </c>
      <c r="G130" s="47">
        <v>86</v>
      </c>
      <c r="H130" s="47">
        <v>112</v>
      </c>
      <c r="I130" s="47"/>
      <c r="J130" s="51"/>
      <c r="K130" s="47">
        <v>96</v>
      </c>
      <c r="L130" s="51"/>
    </row>
    <row r="131" spans="1:12" x14ac:dyDescent="0.25">
      <c r="A131" s="55" t="s">
        <v>583</v>
      </c>
      <c r="B131" s="47" t="s">
        <v>142</v>
      </c>
      <c r="C131" s="47">
        <v>28</v>
      </c>
      <c r="D131" s="47">
        <v>47</v>
      </c>
      <c r="E131" s="47">
        <v>20</v>
      </c>
      <c r="F131" s="47" t="s">
        <v>142</v>
      </c>
      <c r="G131" s="47">
        <v>29</v>
      </c>
      <c r="H131" s="47" t="s">
        <v>142</v>
      </c>
      <c r="I131" s="47"/>
      <c r="J131" s="51"/>
      <c r="K131" s="47">
        <v>30</v>
      </c>
      <c r="L131" s="51"/>
    </row>
    <row r="132" spans="1:12" x14ac:dyDescent="0.25">
      <c r="A132" s="55" t="s">
        <v>582</v>
      </c>
      <c r="B132" s="47">
        <v>434</v>
      </c>
      <c r="C132" s="47">
        <v>378.7</v>
      </c>
      <c r="D132" s="47">
        <v>502</v>
      </c>
      <c r="E132" s="47">
        <v>258</v>
      </c>
      <c r="F132" s="47">
        <v>126</v>
      </c>
      <c r="G132" s="47">
        <v>142</v>
      </c>
      <c r="H132" s="47">
        <v>412</v>
      </c>
      <c r="I132" s="47"/>
      <c r="J132" s="51"/>
      <c r="K132" s="47">
        <v>304</v>
      </c>
      <c r="L132" s="51"/>
    </row>
    <row r="133" spans="1:12" x14ac:dyDescent="0.25">
      <c r="A133" s="55" t="s">
        <v>581</v>
      </c>
      <c r="B133" s="47">
        <v>21</v>
      </c>
      <c r="C133" s="47">
        <v>47</v>
      </c>
      <c r="D133" s="47">
        <v>10</v>
      </c>
      <c r="E133" s="47">
        <v>23</v>
      </c>
      <c r="F133" s="47">
        <v>15</v>
      </c>
      <c r="G133" s="47">
        <v>30</v>
      </c>
      <c r="H133" s="47">
        <v>14</v>
      </c>
      <c r="I133" s="47"/>
      <c r="J133" s="51"/>
      <c r="K133" s="47">
        <v>23</v>
      </c>
      <c r="L133" s="51"/>
    </row>
    <row r="134" spans="1:12" x14ac:dyDescent="0.25">
      <c r="A134" s="55" t="s">
        <v>580</v>
      </c>
      <c r="B134" s="47">
        <v>14.6</v>
      </c>
      <c r="C134" s="47">
        <v>9.8000000000000007</v>
      </c>
      <c r="D134" s="47">
        <v>10</v>
      </c>
      <c r="E134" s="47">
        <v>10</v>
      </c>
      <c r="F134" s="47">
        <v>8</v>
      </c>
      <c r="G134" s="47">
        <v>13</v>
      </c>
      <c r="H134" s="47">
        <v>28</v>
      </c>
      <c r="I134" s="47"/>
      <c r="J134" s="51"/>
      <c r="K134" s="47">
        <v>10</v>
      </c>
      <c r="L134" s="51"/>
    </row>
    <row r="135" spans="1:12" x14ac:dyDescent="0.25">
      <c r="A135" s="55" t="s">
        <v>579</v>
      </c>
      <c r="B135" s="47">
        <v>7250</v>
      </c>
      <c r="C135" s="47">
        <v>20290</v>
      </c>
      <c r="D135" s="47">
        <v>20060</v>
      </c>
      <c r="E135" s="47">
        <v>9840</v>
      </c>
      <c r="F135" s="47">
        <v>3050</v>
      </c>
      <c r="G135" s="47"/>
      <c r="H135" s="47">
        <v>12520</v>
      </c>
      <c r="I135" s="47"/>
      <c r="J135" s="51"/>
      <c r="K135" s="47">
        <v>8440</v>
      </c>
      <c r="L135" s="51"/>
    </row>
    <row r="136" spans="1:12" x14ac:dyDescent="0.25">
      <c r="A136" s="55" t="s">
        <v>578</v>
      </c>
      <c r="B136" s="47" t="s">
        <v>142</v>
      </c>
      <c r="C136" s="47" t="s">
        <v>142</v>
      </c>
      <c r="D136" s="47">
        <v>17900</v>
      </c>
      <c r="E136" s="47" t="s">
        <v>142</v>
      </c>
      <c r="F136" s="47" t="s">
        <v>142</v>
      </c>
      <c r="G136" s="47"/>
      <c r="H136" s="47" t="s">
        <v>142</v>
      </c>
      <c r="I136" s="47"/>
      <c r="J136" s="51"/>
      <c r="K136" s="47" t="s">
        <v>142</v>
      </c>
      <c r="L136" s="51"/>
    </row>
    <row r="137" spans="1:12" x14ac:dyDescent="0.25">
      <c r="A137" s="55" t="s">
        <v>577</v>
      </c>
      <c r="B137" s="47">
        <v>33</v>
      </c>
      <c r="C137" s="47">
        <v>41</v>
      </c>
      <c r="D137" s="47">
        <v>30</v>
      </c>
      <c r="E137" s="47">
        <v>35</v>
      </c>
      <c r="F137" s="47">
        <v>32</v>
      </c>
      <c r="G137" s="47"/>
      <c r="H137" s="47">
        <v>36</v>
      </c>
      <c r="I137" s="47"/>
      <c r="J137" s="51"/>
      <c r="K137" s="47">
        <v>31</v>
      </c>
      <c r="L137" s="51"/>
    </row>
    <row r="138" spans="1:12" x14ac:dyDescent="0.25">
      <c r="A138" s="55" t="s">
        <v>564</v>
      </c>
      <c r="B138" s="47" t="s">
        <v>142</v>
      </c>
      <c r="C138" s="47">
        <v>6.4</v>
      </c>
      <c r="D138" s="47">
        <v>11.9</v>
      </c>
      <c r="E138" s="47">
        <v>9.6999999999999993</v>
      </c>
      <c r="F138" s="47">
        <v>11.4</v>
      </c>
      <c r="G138" s="47"/>
      <c r="H138" s="47">
        <v>9.1</v>
      </c>
      <c r="I138" s="47"/>
      <c r="J138" s="51"/>
      <c r="K138" s="47">
        <v>13.5</v>
      </c>
      <c r="L138" s="51"/>
    </row>
    <row r="139" spans="1:12" x14ac:dyDescent="0.25">
      <c r="A139" s="55" t="s">
        <v>563</v>
      </c>
      <c r="B139" s="47" t="s">
        <v>142</v>
      </c>
      <c r="C139" s="47">
        <v>10.5</v>
      </c>
      <c r="D139" s="47">
        <v>10.5</v>
      </c>
      <c r="E139" s="47">
        <v>10.5</v>
      </c>
      <c r="F139" s="47">
        <v>11</v>
      </c>
      <c r="G139" s="47"/>
      <c r="H139" s="47">
        <v>11</v>
      </c>
      <c r="I139" s="47"/>
      <c r="J139" s="51"/>
      <c r="K139" s="47">
        <v>10.5</v>
      </c>
      <c r="L139" s="51"/>
    </row>
    <row r="140" spans="1:12" x14ac:dyDescent="0.25">
      <c r="A140" s="55" t="s">
        <v>576</v>
      </c>
      <c r="B140" s="47">
        <v>2</v>
      </c>
      <c r="C140" s="47">
        <v>1.6</v>
      </c>
      <c r="D140" s="47">
        <v>2.2000000000000002</v>
      </c>
      <c r="E140" s="47">
        <v>1.9</v>
      </c>
      <c r="F140" s="47">
        <v>2</v>
      </c>
      <c r="G140" s="47"/>
      <c r="H140" s="47">
        <v>1.9</v>
      </c>
      <c r="I140" s="47"/>
      <c r="J140" s="51"/>
      <c r="K140" s="47">
        <v>2.2000000000000002</v>
      </c>
      <c r="L140" s="51"/>
    </row>
    <row r="141" spans="1:12" x14ac:dyDescent="0.25">
      <c r="A141" s="55" t="s">
        <v>575</v>
      </c>
      <c r="B141" s="47">
        <v>108</v>
      </c>
      <c r="C141" s="47">
        <v>59</v>
      </c>
      <c r="D141" s="47">
        <v>45</v>
      </c>
      <c r="E141" s="47">
        <v>103</v>
      </c>
      <c r="F141" s="47">
        <v>48</v>
      </c>
      <c r="G141" s="47"/>
      <c r="H141" s="47">
        <v>98</v>
      </c>
      <c r="I141" s="47"/>
      <c r="J141" s="51"/>
      <c r="K141" s="47">
        <v>70</v>
      </c>
      <c r="L141" s="51"/>
    </row>
    <row r="142" spans="1:12" x14ac:dyDescent="0.25">
      <c r="A142" s="55" t="s">
        <v>574</v>
      </c>
      <c r="B142" s="47" t="s">
        <v>142</v>
      </c>
      <c r="C142" s="47" t="s">
        <v>142</v>
      </c>
      <c r="D142" s="47">
        <v>44</v>
      </c>
      <c r="E142" s="47">
        <v>19</v>
      </c>
      <c r="F142" s="47" t="s">
        <v>142</v>
      </c>
      <c r="G142" s="47"/>
      <c r="H142" s="47">
        <v>32</v>
      </c>
      <c r="I142" s="47"/>
      <c r="J142" s="51"/>
      <c r="K142" s="47">
        <v>30</v>
      </c>
      <c r="L142" s="51"/>
    </row>
    <row r="143" spans="1:12" x14ac:dyDescent="0.25">
      <c r="A143" s="55" t="s">
        <v>573</v>
      </c>
      <c r="B143" s="47">
        <v>318</v>
      </c>
      <c r="C143" s="47">
        <v>363</v>
      </c>
      <c r="D143" s="47">
        <v>446</v>
      </c>
      <c r="E143" s="47">
        <v>219</v>
      </c>
      <c r="F143" s="47">
        <v>127</v>
      </c>
      <c r="G143" s="47"/>
      <c r="H143" s="47">
        <v>260</v>
      </c>
      <c r="I143" s="47"/>
      <c r="J143" s="51"/>
      <c r="K143" s="47">
        <v>264</v>
      </c>
      <c r="L143" s="51"/>
    </row>
    <row r="144" spans="1:12" x14ac:dyDescent="0.25">
      <c r="A144" s="55" t="s">
        <v>572</v>
      </c>
      <c r="B144" s="47">
        <v>234</v>
      </c>
      <c r="C144" s="47">
        <v>226.9</v>
      </c>
      <c r="D144" s="47">
        <v>360</v>
      </c>
      <c r="E144" s="47">
        <v>147</v>
      </c>
      <c r="F144" s="47">
        <v>64</v>
      </c>
      <c r="G144" s="47"/>
      <c r="H144" s="47">
        <v>170</v>
      </c>
      <c r="I144" s="47"/>
      <c r="J144" s="51"/>
      <c r="K144" s="47">
        <v>191</v>
      </c>
      <c r="L144" s="51"/>
    </row>
    <row r="145" spans="1:12" x14ac:dyDescent="0.25">
      <c r="A145" s="55" t="s">
        <v>571</v>
      </c>
      <c r="B145" s="47">
        <v>22</v>
      </c>
      <c r="C145" s="47">
        <v>51</v>
      </c>
      <c r="D145" s="47">
        <v>14</v>
      </c>
      <c r="E145" s="47">
        <v>28</v>
      </c>
      <c r="F145" s="47">
        <v>11</v>
      </c>
      <c r="G145" s="47"/>
      <c r="H145" s="47">
        <v>13</v>
      </c>
      <c r="I145" s="47"/>
      <c r="J145" s="51"/>
      <c r="K145" s="47">
        <v>22</v>
      </c>
      <c r="L145" s="51"/>
    </row>
    <row r="146" spans="1:12" x14ac:dyDescent="0.25">
      <c r="A146" s="55" t="s">
        <v>570</v>
      </c>
      <c r="B146" s="47">
        <v>13</v>
      </c>
      <c r="C146" s="47">
        <v>10</v>
      </c>
      <c r="D146" s="47">
        <v>11</v>
      </c>
      <c r="E146" s="47">
        <v>14</v>
      </c>
      <c r="F146" s="47">
        <v>8</v>
      </c>
      <c r="G146" s="47"/>
      <c r="H146" s="47">
        <v>19</v>
      </c>
      <c r="I146" s="47"/>
      <c r="J146" s="51"/>
      <c r="K146" s="47">
        <v>8</v>
      </c>
      <c r="L146" s="51"/>
    </row>
    <row r="147" spans="1:12" x14ac:dyDescent="0.25">
      <c r="A147" s="55" t="s">
        <v>569</v>
      </c>
      <c r="B147" s="47"/>
      <c r="C147" s="47"/>
      <c r="D147" s="47"/>
      <c r="E147" s="47">
        <v>3</v>
      </c>
      <c r="F147" s="47"/>
      <c r="G147" s="47"/>
      <c r="H147" s="47"/>
      <c r="I147" s="47"/>
      <c r="J147" s="51"/>
      <c r="K147" s="47">
        <v>1</v>
      </c>
      <c r="L147" s="51"/>
    </row>
    <row r="148" spans="1:12" x14ac:dyDescent="0.25">
      <c r="A148" s="55" t="s">
        <v>568</v>
      </c>
      <c r="B148" s="47"/>
      <c r="C148" s="47"/>
      <c r="D148" s="47"/>
      <c r="E148" s="47">
        <v>1</v>
      </c>
      <c r="F148" s="47"/>
      <c r="G148" s="47"/>
      <c r="H148" s="47"/>
      <c r="I148" s="47"/>
      <c r="J148" s="51"/>
      <c r="K148" s="47">
        <v>1</v>
      </c>
      <c r="L148" s="51"/>
    </row>
    <row r="149" spans="1:12" x14ac:dyDescent="0.25">
      <c r="A149" s="55" t="s">
        <v>567</v>
      </c>
      <c r="B149" s="47"/>
      <c r="C149" s="47"/>
      <c r="D149" s="47"/>
      <c r="E149" s="47">
        <v>6040</v>
      </c>
      <c r="F149" s="47"/>
      <c r="G149" s="47"/>
      <c r="H149" s="47"/>
      <c r="I149" s="47"/>
      <c r="J149" s="51"/>
      <c r="K149" s="47">
        <v>6920</v>
      </c>
      <c r="L149" s="51"/>
    </row>
    <row r="150" spans="1:12" x14ac:dyDescent="0.25">
      <c r="A150" s="55" t="s">
        <v>566</v>
      </c>
      <c r="B150" s="47"/>
      <c r="C150" s="47"/>
      <c r="D150" s="47"/>
      <c r="E150" s="47" t="s">
        <v>142</v>
      </c>
      <c r="F150" s="47"/>
      <c r="G150" s="47"/>
      <c r="H150" s="47"/>
      <c r="I150" s="47"/>
      <c r="J150" s="51"/>
      <c r="K150" s="47">
        <v>4100</v>
      </c>
      <c r="L150" s="51"/>
    </row>
    <row r="151" spans="1:12" x14ac:dyDescent="0.25">
      <c r="A151" s="55" t="s">
        <v>565</v>
      </c>
      <c r="B151" s="47"/>
      <c r="C151" s="47"/>
      <c r="D151" s="47"/>
      <c r="E151" s="47">
        <v>16</v>
      </c>
      <c r="F151" s="47"/>
      <c r="G151" s="47"/>
      <c r="H151" s="47"/>
      <c r="I151" s="47"/>
      <c r="J151" s="51"/>
      <c r="K151" s="47">
        <v>34</v>
      </c>
      <c r="L151" s="51"/>
    </row>
    <row r="152" spans="1:12" x14ac:dyDescent="0.25">
      <c r="A152" s="55" t="s">
        <v>564</v>
      </c>
      <c r="B152" s="47"/>
      <c r="C152" s="47"/>
      <c r="D152" s="47"/>
      <c r="E152" s="47">
        <v>27.3</v>
      </c>
      <c r="F152" s="47"/>
      <c r="G152" s="47"/>
      <c r="H152" s="47"/>
      <c r="I152" s="47"/>
      <c r="J152" s="51"/>
      <c r="K152" s="47">
        <v>12.1</v>
      </c>
      <c r="L152" s="51"/>
    </row>
    <row r="153" spans="1:12" x14ac:dyDescent="0.25">
      <c r="A153" s="55" t="s">
        <v>563</v>
      </c>
      <c r="B153" s="47"/>
      <c r="C153" s="47"/>
      <c r="D153" s="47"/>
      <c r="E153" s="47">
        <v>10.5</v>
      </c>
      <c r="F153" s="47"/>
      <c r="G153" s="47"/>
      <c r="H153" s="47"/>
      <c r="I153" s="47"/>
      <c r="J153" s="51"/>
      <c r="K153" s="47">
        <v>10.5</v>
      </c>
      <c r="L153" s="51"/>
    </row>
    <row r="154" spans="1:12" x14ac:dyDescent="0.25">
      <c r="A154" s="55" t="s">
        <v>562</v>
      </c>
      <c r="B154" s="47"/>
      <c r="C154" s="47"/>
      <c r="D154" s="47"/>
      <c r="E154" s="47">
        <v>4.3</v>
      </c>
      <c r="F154" s="47"/>
      <c r="G154" s="47"/>
      <c r="H154" s="47"/>
      <c r="I154" s="47"/>
      <c r="J154" s="51"/>
      <c r="K154" s="47">
        <v>2.1</v>
      </c>
      <c r="L154" s="51"/>
    </row>
    <row r="155" spans="1:12" x14ac:dyDescent="0.25">
      <c r="A155" s="55" t="s">
        <v>561</v>
      </c>
      <c r="B155" s="47"/>
      <c r="C155" s="47"/>
      <c r="D155" s="47"/>
      <c r="E155" s="47">
        <v>41</v>
      </c>
      <c r="F155" s="47"/>
      <c r="G155" s="47"/>
      <c r="H155" s="47"/>
      <c r="I155" s="47"/>
      <c r="J155" s="51"/>
      <c r="K155" s="47">
        <v>90</v>
      </c>
      <c r="L155" s="51"/>
    </row>
    <row r="156" spans="1:12" x14ac:dyDescent="0.25">
      <c r="A156" s="55" t="s">
        <v>560</v>
      </c>
      <c r="B156" s="47"/>
      <c r="C156" s="47"/>
      <c r="D156" s="47"/>
      <c r="E156" s="47">
        <v>253</v>
      </c>
      <c r="F156" s="47"/>
      <c r="G156" s="47"/>
      <c r="H156" s="47"/>
      <c r="I156" s="47"/>
      <c r="J156" s="51"/>
      <c r="K156" s="47">
        <v>262</v>
      </c>
      <c r="L156" s="51"/>
    </row>
    <row r="157" spans="1:12" x14ac:dyDescent="0.25">
      <c r="A157" s="55" t="s">
        <v>559</v>
      </c>
      <c r="B157" s="47"/>
      <c r="C157" s="47"/>
      <c r="D157" s="47"/>
      <c r="E157" s="47">
        <v>36</v>
      </c>
      <c r="F157" s="47"/>
      <c r="G157" s="47"/>
      <c r="H157" s="47"/>
      <c r="I157" s="47"/>
      <c r="J157" s="51"/>
      <c r="K157" s="47">
        <v>41</v>
      </c>
      <c r="L157" s="51"/>
    </row>
    <row r="158" spans="1:12" x14ac:dyDescent="0.25">
      <c r="A158" s="55" t="s">
        <v>558</v>
      </c>
      <c r="B158" s="47"/>
      <c r="C158" s="47"/>
      <c r="D158" s="47"/>
      <c r="E158" s="47">
        <v>22</v>
      </c>
      <c r="F158" s="47"/>
      <c r="G158" s="47"/>
      <c r="H158" s="47"/>
      <c r="I158" s="47"/>
      <c r="J158" s="51"/>
      <c r="K158" s="47">
        <v>11</v>
      </c>
      <c r="L158" s="51"/>
    </row>
    <row r="159" spans="1:12" x14ac:dyDescent="0.25">
      <c r="A159" s="55" t="s">
        <v>557</v>
      </c>
      <c r="B159" s="47"/>
      <c r="C159" s="47"/>
      <c r="D159" s="47"/>
      <c r="E159" s="47">
        <v>18</v>
      </c>
      <c r="F159" s="47"/>
      <c r="G159" s="47"/>
      <c r="H159" s="47"/>
      <c r="I159" s="47"/>
      <c r="J159" s="51"/>
      <c r="K159" s="47">
        <v>5</v>
      </c>
      <c r="L159" s="51"/>
    </row>
    <row r="160" spans="1:12" x14ac:dyDescent="0.25">
      <c r="A160" s="55" t="s">
        <v>556</v>
      </c>
      <c r="B160" s="47"/>
      <c r="C160" s="47"/>
      <c r="D160" s="47"/>
      <c r="E160" s="47">
        <v>0</v>
      </c>
      <c r="F160" s="47"/>
      <c r="G160" s="47"/>
      <c r="H160" s="47"/>
      <c r="I160" s="47"/>
      <c r="J160" s="51"/>
      <c r="K160" s="47">
        <v>0</v>
      </c>
      <c r="L160" s="5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M11"/>
  <sheetViews>
    <sheetView workbookViewId="0">
      <selection activeCell="M7" sqref="M7:AO7"/>
    </sheetView>
  </sheetViews>
  <sheetFormatPr defaultColWidth="11" defaultRowHeight="15.75" x14ac:dyDescent="0.25"/>
  <sheetData>
    <row r="1" spans="1:91" x14ac:dyDescent="0.25">
      <c r="A1" s="1" t="s">
        <v>2</v>
      </c>
      <c r="B1" s="4" t="s">
        <v>140</v>
      </c>
      <c r="C1" s="4" t="s">
        <v>145</v>
      </c>
      <c r="D1" s="4" t="s">
        <v>148</v>
      </c>
      <c r="E1" s="4" t="s">
        <v>151</v>
      </c>
      <c r="F1" s="4" t="s">
        <v>154</v>
      </c>
      <c r="G1" s="4" t="s">
        <v>156</v>
      </c>
      <c r="H1" s="4" t="s">
        <v>159</v>
      </c>
      <c r="I1" s="4" t="s">
        <v>161</v>
      </c>
      <c r="J1" s="4" t="s">
        <v>163</v>
      </c>
      <c r="K1" s="4" t="s">
        <v>164</v>
      </c>
      <c r="L1" s="4" t="s">
        <v>167</v>
      </c>
      <c r="M1" s="4" t="s">
        <v>78</v>
      </c>
      <c r="N1" s="4" t="s">
        <v>84</v>
      </c>
      <c r="O1" s="4" t="s">
        <v>86</v>
      </c>
      <c r="P1" s="4" t="s">
        <v>87</v>
      </c>
      <c r="Q1" s="4" t="s">
        <v>89</v>
      </c>
      <c r="R1" s="4" t="s">
        <v>91</v>
      </c>
      <c r="S1" s="4" t="s">
        <v>93</v>
      </c>
      <c r="T1" s="4" t="s">
        <v>95</v>
      </c>
      <c r="U1" s="4" t="s">
        <v>97</v>
      </c>
      <c r="V1" s="4" t="s">
        <v>99</v>
      </c>
      <c r="W1" s="4" t="s">
        <v>102</v>
      </c>
      <c r="X1" s="4" t="s">
        <v>104</v>
      </c>
      <c r="Y1" s="4" t="s">
        <v>106</v>
      </c>
      <c r="Z1" s="4" t="s">
        <v>108</v>
      </c>
      <c r="AA1" s="4" t="s">
        <v>109</v>
      </c>
      <c r="AB1" s="4" t="s">
        <v>112</v>
      </c>
      <c r="AC1" s="4" t="s">
        <v>115</v>
      </c>
      <c r="AD1" s="4" t="s">
        <v>117</v>
      </c>
      <c r="AE1" s="4" t="s">
        <v>119</v>
      </c>
      <c r="AF1" s="4" t="s">
        <v>121</v>
      </c>
      <c r="AG1" s="4" t="s">
        <v>122</v>
      </c>
      <c r="AH1" s="4" t="s">
        <v>123</v>
      </c>
      <c r="AI1" s="4" t="s">
        <v>125</v>
      </c>
      <c r="AJ1" s="4" t="s">
        <v>127</v>
      </c>
      <c r="AK1" s="4" t="s">
        <v>129</v>
      </c>
      <c r="AL1" s="4" t="s">
        <v>131</v>
      </c>
      <c r="AM1" s="4" t="s">
        <v>133</v>
      </c>
      <c r="AN1" s="4" t="s">
        <v>135</v>
      </c>
      <c r="AO1" s="4" t="s">
        <v>137</v>
      </c>
      <c r="AP1" s="4" t="s">
        <v>169</v>
      </c>
      <c r="AQ1" s="4" t="s">
        <v>171</v>
      </c>
      <c r="AR1" s="4" t="s">
        <v>172</v>
      </c>
      <c r="AS1" s="4" t="s">
        <v>173</v>
      </c>
      <c r="AT1" s="4" t="s">
        <v>174</v>
      </c>
      <c r="AU1" s="4" t="s">
        <v>175</v>
      </c>
      <c r="AV1" s="4" t="s">
        <v>176</v>
      </c>
      <c r="AW1" s="4" t="s">
        <v>177</v>
      </c>
      <c r="AX1" s="4" t="s">
        <v>178</v>
      </c>
      <c r="AY1" s="4" t="s">
        <v>179</v>
      </c>
      <c r="AZ1" s="4" t="s">
        <v>180</v>
      </c>
      <c r="BA1" s="4" t="s">
        <v>181</v>
      </c>
      <c r="BB1" s="4" t="s">
        <v>217</v>
      </c>
      <c r="BC1" s="4" t="s">
        <v>220</v>
      </c>
      <c r="BD1" s="4" t="s">
        <v>221</v>
      </c>
      <c r="BE1" s="4" t="s">
        <v>223</v>
      </c>
      <c r="BF1" s="4" t="s">
        <v>224</v>
      </c>
      <c r="BG1" s="4" t="s">
        <v>226</v>
      </c>
      <c r="BH1" s="4" t="s">
        <v>228</v>
      </c>
      <c r="BI1" s="4" t="s">
        <v>230</v>
      </c>
      <c r="BJ1" s="4" t="s">
        <v>232</v>
      </c>
      <c r="BK1" s="4" t="s">
        <v>234</v>
      </c>
      <c r="BL1" s="4" t="s">
        <v>206</v>
      </c>
      <c r="BM1" s="4" t="s">
        <v>208</v>
      </c>
      <c r="BN1" s="4" t="s">
        <v>209</v>
      </c>
      <c r="BO1" s="4" t="s">
        <v>210</v>
      </c>
      <c r="BP1" s="4" t="s">
        <v>211</v>
      </c>
      <c r="BQ1" s="4" t="s">
        <v>212</v>
      </c>
      <c r="BR1" s="4" t="s">
        <v>213</v>
      </c>
      <c r="BS1" s="4" t="s">
        <v>214</v>
      </c>
      <c r="BT1" s="4" t="s">
        <v>215</v>
      </c>
      <c r="BU1" s="4" t="s">
        <v>183</v>
      </c>
      <c r="BV1" s="4" t="s">
        <v>185</v>
      </c>
      <c r="BW1" s="4" t="s">
        <v>186</v>
      </c>
      <c r="BX1" s="4" t="s">
        <v>187</v>
      </c>
      <c r="BY1" s="4" t="s">
        <v>188</v>
      </c>
      <c r="BZ1" s="4" t="s">
        <v>189</v>
      </c>
      <c r="CA1" s="4" t="s">
        <v>190</v>
      </c>
      <c r="CB1" s="4" t="s">
        <v>191</v>
      </c>
      <c r="CC1" s="4" t="s">
        <v>192</v>
      </c>
      <c r="CD1" s="4" t="s">
        <v>193</v>
      </c>
      <c r="CE1" s="4" t="s">
        <v>195</v>
      </c>
      <c r="CF1" s="4" t="s">
        <v>197</v>
      </c>
      <c r="CG1" s="4" t="s">
        <v>198</v>
      </c>
      <c r="CH1" s="4" t="s">
        <v>199</v>
      </c>
      <c r="CI1" s="4" t="s">
        <v>200</v>
      </c>
      <c r="CJ1" s="4" t="s">
        <v>201</v>
      </c>
      <c r="CK1" s="4" t="s">
        <v>202</v>
      </c>
      <c r="CL1" s="4" t="s">
        <v>203</v>
      </c>
      <c r="CM1" s="4" t="s">
        <v>204</v>
      </c>
    </row>
    <row r="2" spans="1:91" x14ac:dyDescent="0.25">
      <c r="A2" s="1" t="s">
        <v>736</v>
      </c>
      <c r="B2" s="4" t="s">
        <v>726</v>
      </c>
      <c r="C2" s="4" t="s">
        <v>726</v>
      </c>
      <c r="D2" s="4" t="s">
        <v>726</v>
      </c>
      <c r="E2" s="4" t="s">
        <v>726</v>
      </c>
      <c r="F2" s="4" t="s">
        <v>726</v>
      </c>
      <c r="G2" s="4" t="s">
        <v>726</v>
      </c>
      <c r="H2" s="4" t="s">
        <v>726</v>
      </c>
      <c r="I2" s="4" t="s">
        <v>726</v>
      </c>
      <c r="J2" s="4" t="s">
        <v>726</v>
      </c>
      <c r="K2" s="4" t="s">
        <v>726</v>
      </c>
      <c r="L2" s="4" t="s">
        <v>726</v>
      </c>
      <c r="M2" s="4" t="s">
        <v>737</v>
      </c>
      <c r="N2" s="4" t="s">
        <v>737</v>
      </c>
      <c r="O2" s="4" t="s">
        <v>737</v>
      </c>
      <c r="P2" s="4" t="s">
        <v>737</v>
      </c>
      <c r="Q2" s="4" t="s">
        <v>737</v>
      </c>
      <c r="R2" s="4" t="s">
        <v>737</v>
      </c>
      <c r="S2" s="4" t="s">
        <v>737</v>
      </c>
      <c r="T2" s="4" t="s">
        <v>737</v>
      </c>
      <c r="U2" s="4" t="s">
        <v>737</v>
      </c>
      <c r="V2" s="4" t="s">
        <v>737</v>
      </c>
      <c r="W2" s="4" t="s">
        <v>737</v>
      </c>
      <c r="X2" s="4" t="s">
        <v>737</v>
      </c>
      <c r="Y2" s="4" t="s">
        <v>737</v>
      </c>
      <c r="Z2" s="4" t="s">
        <v>737</v>
      </c>
      <c r="AA2" s="4" t="s">
        <v>737</v>
      </c>
      <c r="AB2" s="4" t="s">
        <v>737</v>
      </c>
      <c r="AC2" s="4" t="s">
        <v>737</v>
      </c>
      <c r="AD2" s="4" t="s">
        <v>737</v>
      </c>
      <c r="AE2" s="4" t="s">
        <v>738</v>
      </c>
      <c r="AF2" s="4" t="s">
        <v>738</v>
      </c>
      <c r="AG2" s="4" t="s">
        <v>738</v>
      </c>
      <c r="AH2" s="4" t="s">
        <v>738</v>
      </c>
      <c r="AI2" s="4" t="s">
        <v>738</v>
      </c>
      <c r="AJ2" s="4" t="s">
        <v>738</v>
      </c>
      <c r="AK2" s="4" t="s">
        <v>738</v>
      </c>
      <c r="AL2" s="4" t="s">
        <v>738</v>
      </c>
      <c r="AM2" s="4" t="s">
        <v>738</v>
      </c>
      <c r="AN2" s="4" t="s">
        <v>738</v>
      </c>
      <c r="AO2" s="4" t="s">
        <v>738</v>
      </c>
      <c r="AP2" s="4" t="s">
        <v>727</v>
      </c>
      <c r="AQ2" s="4" t="s">
        <v>727</v>
      </c>
      <c r="AR2" s="4" t="s">
        <v>727</v>
      </c>
      <c r="AS2" s="4" t="s">
        <v>727</v>
      </c>
      <c r="AT2" s="4" t="s">
        <v>727</v>
      </c>
      <c r="AU2" s="4" t="s">
        <v>727</v>
      </c>
      <c r="AV2" s="4" t="s">
        <v>727</v>
      </c>
      <c r="AW2" s="4" t="s">
        <v>727</v>
      </c>
      <c r="AX2" s="4" t="s">
        <v>727</v>
      </c>
      <c r="AY2" s="4" t="s">
        <v>727</v>
      </c>
      <c r="AZ2" s="4" t="s">
        <v>727</v>
      </c>
      <c r="BA2" s="4" t="s">
        <v>727</v>
      </c>
      <c r="BB2" s="4" t="s">
        <v>729</v>
      </c>
      <c r="BC2" s="4" t="s">
        <v>729</v>
      </c>
      <c r="BD2" s="4" t="s">
        <v>729</v>
      </c>
      <c r="BE2" s="4" t="s">
        <v>729</v>
      </c>
      <c r="BF2" s="4" t="s">
        <v>729</v>
      </c>
      <c r="BG2" s="4" t="s">
        <v>729</v>
      </c>
      <c r="BH2" s="4" t="s">
        <v>729</v>
      </c>
      <c r="BI2" s="4" t="s">
        <v>729</v>
      </c>
      <c r="BJ2" s="4" t="s">
        <v>729</v>
      </c>
      <c r="BK2" s="4" t="s">
        <v>729</v>
      </c>
      <c r="BL2" s="4" t="s">
        <v>728</v>
      </c>
      <c r="BM2" s="4" t="s">
        <v>728</v>
      </c>
      <c r="BN2" s="4" t="s">
        <v>728</v>
      </c>
      <c r="BO2" s="4" t="s">
        <v>728</v>
      </c>
      <c r="BP2" s="4" t="s">
        <v>728</v>
      </c>
      <c r="BQ2" s="4" t="s">
        <v>728</v>
      </c>
      <c r="BR2" s="4" t="s">
        <v>728</v>
      </c>
      <c r="BS2" s="4" t="s">
        <v>728</v>
      </c>
      <c r="BT2" s="4" t="s">
        <v>728</v>
      </c>
      <c r="BU2" s="4" t="s">
        <v>184</v>
      </c>
      <c r="BV2" s="4" t="s">
        <v>184</v>
      </c>
      <c r="BW2" s="4" t="s">
        <v>184</v>
      </c>
      <c r="BX2" s="4" t="s">
        <v>184</v>
      </c>
      <c r="BY2" s="4" t="s">
        <v>184</v>
      </c>
      <c r="BZ2" s="4" t="s">
        <v>184</v>
      </c>
      <c r="CA2" s="4" t="s">
        <v>184</v>
      </c>
      <c r="CB2" s="4" t="s">
        <v>184</v>
      </c>
      <c r="CC2" s="4" t="s">
        <v>184</v>
      </c>
      <c r="CD2" s="4" t="s">
        <v>184</v>
      </c>
      <c r="CE2" s="4" t="s">
        <v>196</v>
      </c>
      <c r="CF2" s="4" t="s">
        <v>196</v>
      </c>
      <c r="CG2" s="4" t="s">
        <v>196</v>
      </c>
      <c r="CH2" s="4" t="s">
        <v>196</v>
      </c>
      <c r="CI2" s="4" t="s">
        <v>196</v>
      </c>
      <c r="CJ2" s="4" t="s">
        <v>196</v>
      </c>
      <c r="CK2" s="4" t="s">
        <v>196</v>
      </c>
      <c r="CL2" s="4" t="s">
        <v>196</v>
      </c>
      <c r="CM2" s="4" t="s">
        <v>196</v>
      </c>
    </row>
    <row r="3" spans="1:91" x14ac:dyDescent="0.25">
      <c r="A3" t="s">
        <v>27</v>
      </c>
      <c r="B3" s="47"/>
      <c r="C3" s="47" t="s">
        <v>142</v>
      </c>
      <c r="D3" s="47"/>
      <c r="E3" s="47">
        <v>29</v>
      </c>
      <c r="F3" s="47">
        <v>29.6</v>
      </c>
      <c r="G3" s="47"/>
      <c r="H3" s="47">
        <v>34</v>
      </c>
      <c r="I3" s="47"/>
      <c r="J3" s="51"/>
      <c r="K3" s="47">
        <v>21.6</v>
      </c>
      <c r="L3" s="51"/>
    </row>
    <row r="4" spans="1:91" x14ac:dyDescent="0.25">
      <c r="A4" t="s">
        <v>313</v>
      </c>
      <c r="B4" s="47">
        <v>132</v>
      </c>
      <c r="C4" s="47">
        <v>135</v>
      </c>
      <c r="D4" s="47">
        <v>76</v>
      </c>
      <c r="E4" s="47">
        <v>127</v>
      </c>
      <c r="F4" s="47">
        <v>104</v>
      </c>
      <c r="G4" s="47" t="s">
        <v>142</v>
      </c>
      <c r="H4" s="47">
        <v>125</v>
      </c>
      <c r="I4" s="47">
        <v>128</v>
      </c>
      <c r="J4" s="47">
        <v>104</v>
      </c>
      <c r="K4" s="47">
        <v>97</v>
      </c>
      <c r="L4" s="47">
        <v>111</v>
      </c>
      <c r="M4" s="34">
        <v>119</v>
      </c>
      <c r="N4" s="34">
        <v>128</v>
      </c>
      <c r="O4" s="34">
        <v>195</v>
      </c>
      <c r="P4" s="34">
        <v>136</v>
      </c>
      <c r="Q4" s="34">
        <v>226</v>
      </c>
      <c r="R4" s="34">
        <v>130</v>
      </c>
      <c r="S4" s="34">
        <v>175</v>
      </c>
      <c r="T4" s="34">
        <v>146</v>
      </c>
      <c r="U4" s="34">
        <v>66</v>
      </c>
      <c r="V4" s="34">
        <v>117</v>
      </c>
      <c r="W4" s="34">
        <v>100</v>
      </c>
      <c r="X4" s="34">
        <v>92</v>
      </c>
      <c r="Y4" s="34">
        <v>255</v>
      </c>
      <c r="Z4" s="34">
        <v>249</v>
      </c>
      <c r="AA4" s="34">
        <v>125</v>
      </c>
      <c r="AB4" s="34">
        <v>240</v>
      </c>
      <c r="AC4" s="34">
        <v>117</v>
      </c>
      <c r="AD4" s="34">
        <v>230</v>
      </c>
      <c r="AE4" s="34">
        <v>276</v>
      </c>
      <c r="AF4" s="34">
        <v>26</v>
      </c>
      <c r="AG4" s="34">
        <v>104</v>
      </c>
      <c r="AH4" s="34">
        <v>65</v>
      </c>
      <c r="AI4" s="34">
        <v>117</v>
      </c>
      <c r="AJ4" s="34">
        <v>48</v>
      </c>
      <c r="AK4" s="34">
        <v>35</v>
      </c>
      <c r="AL4" s="34">
        <v>112</v>
      </c>
      <c r="AM4" s="34">
        <v>54</v>
      </c>
      <c r="AN4" s="34">
        <v>373</v>
      </c>
      <c r="AO4" s="34">
        <v>325</v>
      </c>
    </row>
    <row r="5" spans="1:91" x14ac:dyDescent="0.25">
      <c r="A5" t="s">
        <v>312</v>
      </c>
      <c r="M5" s="34">
        <v>55</v>
      </c>
      <c r="N5" s="34">
        <v>127</v>
      </c>
      <c r="O5" s="34">
        <v>44</v>
      </c>
      <c r="P5" s="34">
        <v>78</v>
      </c>
      <c r="Q5" s="34">
        <v>55</v>
      </c>
      <c r="R5" s="34">
        <v>67</v>
      </c>
      <c r="S5" s="34">
        <v>57</v>
      </c>
      <c r="T5" s="34">
        <v>44</v>
      </c>
      <c r="U5" s="34">
        <v>13</v>
      </c>
      <c r="V5" s="34">
        <v>58</v>
      </c>
      <c r="W5" s="34">
        <v>78</v>
      </c>
      <c r="X5" s="34">
        <v>45</v>
      </c>
      <c r="Y5" s="34">
        <v>61</v>
      </c>
      <c r="Z5" s="34">
        <v>32</v>
      </c>
      <c r="AA5" s="34">
        <v>26</v>
      </c>
      <c r="AB5" s="34">
        <v>90</v>
      </c>
      <c r="AC5" s="34">
        <v>14</v>
      </c>
      <c r="AD5" s="34">
        <v>2</v>
      </c>
      <c r="AE5" s="34">
        <v>69</v>
      </c>
      <c r="AF5" s="34">
        <v>8</v>
      </c>
      <c r="AG5" s="34">
        <v>36</v>
      </c>
      <c r="AH5" s="34">
        <v>20</v>
      </c>
      <c r="AI5" s="34">
        <v>31</v>
      </c>
      <c r="AJ5" s="34">
        <v>33</v>
      </c>
      <c r="AK5" s="34">
        <v>30</v>
      </c>
      <c r="AL5" s="34">
        <v>47</v>
      </c>
      <c r="AM5" s="34">
        <v>43</v>
      </c>
      <c r="AN5" s="34">
        <v>36</v>
      </c>
      <c r="AO5" s="34">
        <v>59</v>
      </c>
    </row>
    <row r="6" spans="1:91" x14ac:dyDescent="0.25">
      <c r="A6" t="s">
        <v>247</v>
      </c>
      <c r="B6" s="47" t="s">
        <v>142</v>
      </c>
      <c r="C6" s="47">
        <v>2</v>
      </c>
      <c r="D6" s="47">
        <v>3.7</v>
      </c>
      <c r="E6" s="47">
        <v>2.8</v>
      </c>
      <c r="F6" s="47" t="s">
        <v>142</v>
      </c>
      <c r="G6" s="47">
        <v>2.37</v>
      </c>
      <c r="H6" s="47">
        <v>3.6</v>
      </c>
      <c r="I6" s="47">
        <v>1.9</v>
      </c>
      <c r="J6" s="47">
        <v>1.5</v>
      </c>
      <c r="K6" s="47">
        <v>2.0499999999999998</v>
      </c>
      <c r="L6" s="47">
        <v>1.9</v>
      </c>
      <c r="M6" s="34">
        <v>2.23</v>
      </c>
      <c r="N6" s="34">
        <v>1.56</v>
      </c>
      <c r="O6" s="34">
        <v>2.11</v>
      </c>
      <c r="P6" s="34">
        <v>1.62</v>
      </c>
      <c r="Q6" s="34">
        <v>1.67</v>
      </c>
      <c r="R6" s="34">
        <v>1.76</v>
      </c>
      <c r="S6" s="34">
        <v>1.59</v>
      </c>
      <c r="T6" s="34">
        <v>1.74</v>
      </c>
      <c r="U6" s="34">
        <v>1.56</v>
      </c>
      <c r="V6" s="34">
        <v>1.42</v>
      </c>
      <c r="W6" s="34">
        <v>1.49</v>
      </c>
      <c r="X6" s="34">
        <v>3.32</v>
      </c>
      <c r="Y6" s="34">
        <v>1.46</v>
      </c>
      <c r="Z6" s="34">
        <v>1.68</v>
      </c>
      <c r="AA6" s="34">
        <v>2.2000000000000002</v>
      </c>
      <c r="AB6" s="34">
        <v>1.35</v>
      </c>
      <c r="AC6" s="34">
        <v>1.79</v>
      </c>
      <c r="AD6" s="34">
        <v>1.82</v>
      </c>
      <c r="AE6" s="34">
        <v>1.18</v>
      </c>
      <c r="AF6" s="34">
        <v>1.25</v>
      </c>
      <c r="AG6" s="34">
        <v>1.42</v>
      </c>
      <c r="AH6" s="34">
        <v>1.44</v>
      </c>
      <c r="AI6" s="34">
        <v>1.45</v>
      </c>
      <c r="AJ6" s="34">
        <v>1.06</v>
      </c>
      <c r="AK6" s="34">
        <v>0.99</v>
      </c>
      <c r="AL6" s="34">
        <v>1.68</v>
      </c>
      <c r="AM6" s="34">
        <v>1.23</v>
      </c>
      <c r="AN6" s="34">
        <v>1.1299999999999999</v>
      </c>
      <c r="AO6" s="34">
        <v>1.27</v>
      </c>
    </row>
    <row r="7" spans="1:91" x14ac:dyDescent="0.25">
      <c r="A7" t="s">
        <v>309</v>
      </c>
      <c r="B7" s="47">
        <v>23</v>
      </c>
      <c r="C7" s="47">
        <v>22.5</v>
      </c>
      <c r="D7" s="47">
        <v>23</v>
      </c>
      <c r="E7" s="47">
        <v>14.3</v>
      </c>
      <c r="F7" s="47" t="s">
        <v>142</v>
      </c>
      <c r="G7" s="47">
        <v>20</v>
      </c>
      <c r="H7" s="47">
        <v>40</v>
      </c>
      <c r="I7" s="47">
        <v>34</v>
      </c>
      <c r="J7" s="47" t="s">
        <v>719</v>
      </c>
      <c r="K7" s="47">
        <v>27</v>
      </c>
      <c r="L7" s="47">
        <v>23</v>
      </c>
      <c r="M7" s="34">
        <v>22</v>
      </c>
      <c r="N7" s="34">
        <v>22</v>
      </c>
      <c r="O7" s="34">
        <v>32</v>
      </c>
      <c r="P7" s="34">
        <v>29</v>
      </c>
      <c r="Q7" s="34">
        <v>24</v>
      </c>
      <c r="R7" s="34">
        <v>29</v>
      </c>
      <c r="S7" s="34">
        <v>32</v>
      </c>
      <c r="T7" s="34">
        <v>23</v>
      </c>
      <c r="U7" s="34">
        <v>25</v>
      </c>
      <c r="V7" s="34">
        <v>33</v>
      </c>
      <c r="W7" s="34">
        <v>30</v>
      </c>
      <c r="X7" s="34">
        <v>21</v>
      </c>
      <c r="Y7" s="34">
        <v>25</v>
      </c>
      <c r="Z7" s="34">
        <v>26</v>
      </c>
      <c r="AA7" s="34">
        <v>30</v>
      </c>
      <c r="AB7" s="34">
        <v>21</v>
      </c>
      <c r="AC7" s="34">
        <v>23</v>
      </c>
      <c r="AD7" s="34">
        <v>23</v>
      </c>
      <c r="AE7" s="34">
        <v>24</v>
      </c>
      <c r="AF7" s="34">
        <v>29</v>
      </c>
      <c r="AG7" s="34">
        <v>32</v>
      </c>
      <c r="AH7" s="34">
        <v>23</v>
      </c>
      <c r="AI7" s="34">
        <v>29</v>
      </c>
      <c r="AJ7" s="34">
        <v>32</v>
      </c>
      <c r="AK7" s="34">
        <v>41</v>
      </c>
      <c r="AL7" s="34">
        <v>37</v>
      </c>
      <c r="AM7" s="34">
        <v>36</v>
      </c>
      <c r="AN7" s="34">
        <v>39</v>
      </c>
      <c r="AO7" s="34">
        <v>35</v>
      </c>
    </row>
    <row r="8" spans="1:91" x14ac:dyDescent="0.25">
      <c r="A8" t="s">
        <v>744</v>
      </c>
      <c r="B8" s="47">
        <v>139</v>
      </c>
      <c r="C8" s="47">
        <v>306</v>
      </c>
      <c r="D8" s="47">
        <v>291</v>
      </c>
      <c r="E8" s="47">
        <v>182</v>
      </c>
      <c r="F8" s="47">
        <v>213</v>
      </c>
      <c r="G8" s="47">
        <v>128</v>
      </c>
      <c r="H8" s="47">
        <v>256</v>
      </c>
      <c r="I8" s="47">
        <v>396</v>
      </c>
      <c r="J8" s="47">
        <v>120</v>
      </c>
      <c r="K8" s="47">
        <v>195</v>
      </c>
      <c r="L8" s="47">
        <v>164</v>
      </c>
    </row>
    <row r="9" spans="1:91" x14ac:dyDescent="0.25">
      <c r="A9" t="s">
        <v>745</v>
      </c>
      <c r="B9" s="56">
        <v>10</v>
      </c>
      <c r="C9" s="56">
        <v>12</v>
      </c>
      <c r="D9" s="56">
        <v>13</v>
      </c>
      <c r="E9" s="56">
        <v>13</v>
      </c>
      <c r="F9" s="56">
        <v>12</v>
      </c>
      <c r="G9" s="56">
        <v>13</v>
      </c>
      <c r="H9" s="56">
        <v>9</v>
      </c>
      <c r="I9" s="56">
        <v>12</v>
      </c>
      <c r="J9" s="56">
        <v>12</v>
      </c>
      <c r="K9" s="56">
        <v>11</v>
      </c>
      <c r="L9" s="56">
        <v>14</v>
      </c>
    </row>
    <row r="10" spans="1:91" x14ac:dyDescent="0.25">
      <c r="A10" t="s">
        <v>47</v>
      </c>
      <c r="B10">
        <v>19.210509823634517</v>
      </c>
      <c r="C10">
        <v>18.112933852313212</v>
      </c>
      <c r="D10">
        <v>40.925058267532897</v>
      </c>
      <c r="E10">
        <v>33.427045829943452</v>
      </c>
      <c r="F10">
        <v>20.937930784093659</v>
      </c>
      <c r="G10">
        <v>18.142242183011874</v>
      </c>
      <c r="H10">
        <v>17.989180541711306</v>
      </c>
      <c r="I10">
        <v>18.102883026164079</v>
      </c>
      <c r="K10">
        <v>15.47555512756955</v>
      </c>
    </row>
    <row r="11" spans="1:91" x14ac:dyDescent="0.25">
      <c r="A11" t="s">
        <v>720</v>
      </c>
      <c r="B11" s="47">
        <v>7.0890000000000004</v>
      </c>
      <c r="C11" s="47">
        <v>8.822000000000001</v>
      </c>
      <c r="D11" s="47">
        <v>10.118</v>
      </c>
      <c r="E11" s="47">
        <v>8.7760000000000016</v>
      </c>
      <c r="F11" s="47">
        <v>9.48</v>
      </c>
      <c r="G11" s="47">
        <v>7.2070000000000007</v>
      </c>
      <c r="H11" s="47">
        <v>6.5420000000000007</v>
      </c>
      <c r="I11" s="47">
        <v>7.56</v>
      </c>
      <c r="J11" s="47"/>
      <c r="K11" s="47">
        <v>8.84</v>
      </c>
      <c r="L11" s="4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A31"/>
  <sheetViews>
    <sheetView zoomScale="120" zoomScaleNormal="120" workbookViewId="0">
      <selection activeCell="B34" sqref="B34"/>
    </sheetView>
  </sheetViews>
  <sheetFormatPr defaultColWidth="5.375" defaultRowHeight="15.75" x14ac:dyDescent="0.25"/>
  <cols>
    <col min="1" max="1" width="3.625" customWidth="1"/>
    <col min="2" max="2" width="33.125" customWidth="1"/>
    <col min="3" max="3" width="12" bestFit="1" customWidth="1"/>
    <col min="4" max="4" width="15.875" bestFit="1" customWidth="1"/>
    <col min="7" max="7" width="13.125" bestFit="1" customWidth="1"/>
    <col min="8" max="8" width="13.875" bestFit="1" customWidth="1"/>
    <col min="9" max="9" width="16.5" bestFit="1" customWidth="1"/>
    <col min="10" max="10" width="10.5" customWidth="1"/>
    <col min="11" max="11" width="13.875" bestFit="1" customWidth="1"/>
    <col min="12" max="12" width="16.5" bestFit="1" customWidth="1"/>
    <col min="23" max="23" width="12.625" customWidth="1"/>
    <col min="24" max="24" width="11.875" bestFit="1" customWidth="1"/>
    <col min="25" max="25" width="12" customWidth="1"/>
    <col min="41" max="41" width="10.375" bestFit="1" customWidth="1"/>
    <col min="48" max="48" width="27.625" customWidth="1"/>
    <col min="62" max="62" width="95.875" bestFit="1" customWidth="1"/>
    <col min="96" max="96" width="9.5" customWidth="1"/>
    <col min="104" max="104" width="19.5" customWidth="1"/>
    <col min="107" max="107" width="14.875" customWidth="1"/>
    <col min="108" max="108" width="18" customWidth="1"/>
    <col min="180" max="180" width="15.875" bestFit="1" customWidth="1"/>
  </cols>
  <sheetData>
    <row r="1" spans="1:183" x14ac:dyDescent="0.25">
      <c r="A1" s="3" t="s">
        <v>714</v>
      </c>
    </row>
    <row r="2" spans="1:183" s="3" customFormat="1" x14ac:dyDescent="0.25">
      <c r="A2" s="36" t="s">
        <v>0</v>
      </c>
      <c r="B2" s="15" t="s">
        <v>711</v>
      </c>
      <c r="C2" s="2" t="s">
        <v>733</v>
      </c>
      <c r="D2" s="2" t="s">
        <v>734</v>
      </c>
      <c r="E2" s="36" t="s">
        <v>75</v>
      </c>
      <c r="F2" s="36" t="s">
        <v>319</v>
      </c>
      <c r="G2" s="36" t="s">
        <v>320</v>
      </c>
      <c r="H2" s="36" t="s">
        <v>321</v>
      </c>
      <c r="I2" s="36" t="s">
        <v>322</v>
      </c>
      <c r="J2" s="36" t="s">
        <v>323</v>
      </c>
      <c r="K2" s="36" t="s">
        <v>324</v>
      </c>
      <c r="L2" s="36" t="s">
        <v>325</v>
      </c>
      <c r="M2" s="36" t="s">
        <v>326</v>
      </c>
      <c r="N2" s="36" t="s">
        <v>327</v>
      </c>
      <c r="O2" s="36" t="s">
        <v>328</v>
      </c>
      <c r="P2" s="36" t="s">
        <v>329</v>
      </c>
      <c r="Q2" s="36" t="s">
        <v>34</v>
      </c>
      <c r="R2" s="36" t="s">
        <v>45</v>
      </c>
      <c r="S2" s="36" t="s">
        <v>46</v>
      </c>
      <c r="T2" s="36" t="s">
        <v>47</v>
      </c>
      <c r="U2" s="36" t="s">
        <v>48</v>
      </c>
      <c r="V2" s="36" t="s">
        <v>49</v>
      </c>
      <c r="W2" s="36" t="s">
        <v>50</v>
      </c>
      <c r="X2" s="36" t="s">
        <v>51</v>
      </c>
      <c r="Y2" s="36" t="s">
        <v>53</v>
      </c>
      <c r="Z2" s="36" t="s">
        <v>330</v>
      </c>
      <c r="AA2" s="36" t="s">
        <v>331</v>
      </c>
      <c r="AB2" s="36" t="s">
        <v>332</v>
      </c>
      <c r="AC2" s="36" t="s">
        <v>54</v>
      </c>
      <c r="AD2" s="36" t="s">
        <v>333</v>
      </c>
      <c r="AE2" s="36" t="s">
        <v>334</v>
      </c>
      <c r="AF2" s="36" t="s">
        <v>335</v>
      </c>
      <c r="AG2" s="36" t="s">
        <v>55</v>
      </c>
      <c r="AH2" s="36" t="s">
        <v>56</v>
      </c>
      <c r="AI2" s="36" t="s">
        <v>336</v>
      </c>
      <c r="AJ2" s="36" t="s">
        <v>337</v>
      </c>
      <c r="AK2" s="36" t="s">
        <v>338</v>
      </c>
      <c r="AL2" s="36" t="s">
        <v>57</v>
      </c>
      <c r="AM2" s="36" t="s">
        <v>339</v>
      </c>
      <c r="AN2" s="36" t="s">
        <v>340</v>
      </c>
      <c r="AO2" s="36" t="s">
        <v>341</v>
      </c>
      <c r="AP2" s="36" t="s">
        <v>342</v>
      </c>
      <c r="AQ2" s="36" t="s">
        <v>343</v>
      </c>
      <c r="AR2" s="36" t="s">
        <v>344</v>
      </c>
      <c r="AS2" s="36" t="s">
        <v>345</v>
      </c>
      <c r="AT2" s="36" t="s">
        <v>346</v>
      </c>
      <c r="AU2" s="36" t="s">
        <v>58</v>
      </c>
      <c r="AV2" s="36" t="s">
        <v>59</v>
      </c>
      <c r="AW2" s="36" t="s">
        <v>347</v>
      </c>
      <c r="AX2" s="36" t="s">
        <v>348</v>
      </c>
      <c r="AY2" s="36" t="s">
        <v>349</v>
      </c>
      <c r="AZ2" s="36" t="s">
        <v>350</v>
      </c>
      <c r="BA2" s="36" t="s">
        <v>351</v>
      </c>
      <c r="BB2" s="36" t="s">
        <v>352</v>
      </c>
      <c r="BC2" s="36" t="s">
        <v>353</v>
      </c>
      <c r="BD2" s="36" t="s">
        <v>354</v>
      </c>
      <c r="BE2" s="36" t="s">
        <v>355</v>
      </c>
      <c r="BF2" s="36" t="s">
        <v>356</v>
      </c>
      <c r="BG2" s="36" t="s">
        <v>60</v>
      </c>
      <c r="BH2" s="36" t="s">
        <v>357</v>
      </c>
      <c r="BI2" s="36" t="s">
        <v>358</v>
      </c>
      <c r="BJ2" s="36" t="s">
        <v>359</v>
      </c>
      <c r="BK2" s="36" t="s">
        <v>360</v>
      </c>
      <c r="BL2" s="36" t="s">
        <v>361</v>
      </c>
      <c r="BM2" s="36" t="s">
        <v>362</v>
      </c>
      <c r="BN2" s="36" t="s">
        <v>363</v>
      </c>
      <c r="BO2" s="36" t="s">
        <v>61</v>
      </c>
      <c r="BP2" s="36" t="s">
        <v>62</v>
      </c>
      <c r="BQ2" s="36" t="s">
        <v>63</v>
      </c>
      <c r="BR2" s="36" t="s">
        <v>364</v>
      </c>
      <c r="BS2" s="36" t="s">
        <v>365</v>
      </c>
      <c r="BT2" s="36" t="s">
        <v>366</v>
      </c>
      <c r="BU2" s="36" t="s">
        <v>367</v>
      </c>
      <c r="BV2" s="36" t="s">
        <v>368</v>
      </c>
      <c r="BW2" s="36" t="s">
        <v>369</v>
      </c>
      <c r="BX2" s="36" t="s">
        <v>370</v>
      </c>
      <c r="BY2" s="36" t="s">
        <v>371</v>
      </c>
      <c r="BZ2" s="36" t="s">
        <v>372</v>
      </c>
      <c r="CA2" s="36" t="s">
        <v>373</v>
      </c>
      <c r="CB2" s="36" t="s">
        <v>374</v>
      </c>
      <c r="CC2" s="36" t="s">
        <v>375</v>
      </c>
      <c r="CD2" s="36" t="s">
        <v>376</v>
      </c>
      <c r="CE2" s="36" t="s">
        <v>377</v>
      </c>
      <c r="CF2" s="36" t="s">
        <v>378</v>
      </c>
      <c r="CG2" s="36" t="s">
        <v>65</v>
      </c>
      <c r="CH2" s="36" t="s">
        <v>379</v>
      </c>
      <c r="CI2" s="36" t="s">
        <v>380</v>
      </c>
      <c r="CJ2" s="36" t="s">
        <v>381</v>
      </c>
      <c r="CK2" s="36" t="s">
        <v>382</v>
      </c>
      <c r="CL2" s="36" t="s">
        <v>383</v>
      </c>
      <c r="CM2" s="36" t="s">
        <v>384</v>
      </c>
      <c r="CN2" s="36" t="s">
        <v>385</v>
      </c>
      <c r="CO2" s="36" t="s">
        <v>386</v>
      </c>
      <c r="CP2" s="36" t="s">
        <v>387</v>
      </c>
      <c r="CQ2" s="36" t="s">
        <v>388</v>
      </c>
      <c r="CR2" s="36" t="s">
        <v>389</v>
      </c>
      <c r="CS2" s="36" t="s">
        <v>390</v>
      </c>
      <c r="CT2" s="36" t="s">
        <v>391</v>
      </c>
      <c r="CU2" s="36" t="s">
        <v>66</v>
      </c>
      <c r="CV2" s="36" t="s">
        <v>392</v>
      </c>
      <c r="CW2" s="36" t="s">
        <v>393</v>
      </c>
      <c r="CX2" s="36" t="s">
        <v>394</v>
      </c>
      <c r="CY2" s="36" t="s">
        <v>395</v>
      </c>
      <c r="CZ2" s="36" t="s">
        <v>313</v>
      </c>
      <c r="DA2" s="36" t="s">
        <v>312</v>
      </c>
      <c r="DB2" s="36" t="s">
        <v>15</v>
      </c>
      <c r="DC2" s="36" t="s">
        <v>396</v>
      </c>
      <c r="DD2" s="36" t="s">
        <v>397</v>
      </c>
      <c r="DE2" s="36" t="s">
        <v>398</v>
      </c>
      <c r="DF2" s="36" t="s">
        <v>399</v>
      </c>
      <c r="DG2" s="36" t="s">
        <v>400</v>
      </c>
      <c r="DH2" s="36" t="s">
        <v>401</v>
      </c>
      <c r="DI2" s="36" t="s">
        <v>402</v>
      </c>
      <c r="DJ2" s="36" t="s">
        <v>403</v>
      </c>
      <c r="DK2" s="36" t="s">
        <v>404</v>
      </c>
      <c r="DL2" s="36" t="s">
        <v>24</v>
      </c>
      <c r="DM2" s="36" t="s">
        <v>405</v>
      </c>
      <c r="DN2" s="36" t="s">
        <v>406</v>
      </c>
      <c r="DO2" s="36" t="s">
        <v>407</v>
      </c>
      <c r="DP2" s="36" t="s">
        <v>408</v>
      </c>
      <c r="DQ2" s="36" t="s">
        <v>409</v>
      </c>
      <c r="DR2" s="36" t="s">
        <v>410</v>
      </c>
      <c r="DS2" s="36" t="s">
        <v>411</v>
      </c>
      <c r="DT2" s="36" t="s">
        <v>412</v>
      </c>
      <c r="DU2" s="36" t="s">
        <v>413</v>
      </c>
      <c r="DV2" s="36" t="s">
        <v>414</v>
      </c>
      <c r="DW2" s="36" t="s">
        <v>247</v>
      </c>
      <c r="DX2" s="36" t="s">
        <v>52</v>
      </c>
      <c r="DY2" s="36" t="s">
        <v>415</v>
      </c>
      <c r="DZ2" s="36" t="s">
        <v>416</v>
      </c>
      <c r="EA2" s="36" t="s">
        <v>417</v>
      </c>
      <c r="EB2" s="36" t="s">
        <v>68</v>
      </c>
      <c r="EC2" s="36" t="s">
        <v>69</v>
      </c>
      <c r="ED2" s="36" t="s">
        <v>70</v>
      </c>
      <c r="EE2" s="36" t="s">
        <v>71</v>
      </c>
      <c r="EF2" s="36" t="s">
        <v>72</v>
      </c>
      <c r="EG2" s="36" t="s">
        <v>73</v>
      </c>
      <c r="EH2" s="36" t="s">
        <v>74</v>
      </c>
      <c r="EI2" s="36" t="s">
        <v>418</v>
      </c>
      <c r="EJ2" s="36" t="s">
        <v>67</v>
      </c>
      <c r="EK2" s="36" t="s">
        <v>419</v>
      </c>
      <c r="EL2" s="36" t="s">
        <v>420</v>
      </c>
      <c r="EM2" s="36" t="s">
        <v>421</v>
      </c>
      <c r="EN2" s="36" t="s">
        <v>422</v>
      </c>
      <c r="EO2" s="36" t="s">
        <v>423</v>
      </c>
      <c r="EP2" s="36" t="s">
        <v>424</v>
      </c>
      <c r="EQ2" s="36" t="s">
        <v>425</v>
      </c>
      <c r="ER2" s="36" t="s">
        <v>426</v>
      </c>
      <c r="ES2" s="36" t="s">
        <v>427</v>
      </c>
      <c r="ET2" s="36" t="s">
        <v>428</v>
      </c>
      <c r="EU2" s="36" t="s">
        <v>429</v>
      </c>
      <c r="EV2" s="36" t="s">
        <v>430</v>
      </c>
      <c r="EW2" s="36" t="s">
        <v>431</v>
      </c>
      <c r="EX2" s="36" t="s">
        <v>432</v>
      </c>
      <c r="EY2" s="36" t="s">
        <v>433</v>
      </c>
      <c r="EZ2" s="36" t="s">
        <v>434</v>
      </c>
      <c r="FA2" s="36" t="s">
        <v>435</v>
      </c>
      <c r="FB2" s="36" t="s">
        <v>436</v>
      </c>
      <c r="FC2" s="36" t="s">
        <v>437</v>
      </c>
      <c r="FD2" s="36" t="s">
        <v>438</v>
      </c>
      <c r="FE2" s="36" t="s">
        <v>439</v>
      </c>
      <c r="FF2" s="36" t="s">
        <v>440</v>
      </c>
      <c r="FG2" s="36" t="s">
        <v>441</v>
      </c>
      <c r="FH2" s="36" t="s">
        <v>442</v>
      </c>
      <c r="FI2" s="36" t="s">
        <v>443</v>
      </c>
      <c r="FJ2" s="36" t="s">
        <v>444</v>
      </c>
      <c r="FK2" s="36" t="s">
        <v>445</v>
      </c>
      <c r="FL2" s="36" t="s">
        <v>446</v>
      </c>
      <c r="FM2" s="36" t="s">
        <v>447</v>
      </c>
      <c r="FN2" s="36" t="s">
        <v>448</v>
      </c>
      <c r="FO2" s="36" t="s">
        <v>449</v>
      </c>
      <c r="FP2" s="36" t="s">
        <v>450</v>
      </c>
      <c r="FQ2" s="36" t="s">
        <v>451</v>
      </c>
      <c r="FR2" s="36" t="s">
        <v>452</v>
      </c>
      <c r="FS2" s="36" t="s">
        <v>453</v>
      </c>
      <c r="FT2" s="36" t="s">
        <v>454</v>
      </c>
      <c r="FU2" s="36" t="s">
        <v>455</v>
      </c>
      <c r="FV2" s="36" t="s">
        <v>456</v>
      </c>
      <c r="FW2" s="36" t="s">
        <v>457</v>
      </c>
      <c r="FX2" s="36" t="s">
        <v>458</v>
      </c>
      <c r="FY2" s="36" t="s">
        <v>459</v>
      </c>
      <c r="FZ2" s="36" t="s">
        <v>75</v>
      </c>
      <c r="GA2" s="36" t="s">
        <v>76</v>
      </c>
    </row>
    <row r="3" spans="1:183" x14ac:dyDescent="0.25">
      <c r="A3" s="34">
        <v>1</v>
      </c>
      <c r="B3" s="4" t="s">
        <v>78</v>
      </c>
      <c r="C3" s="5" t="s">
        <v>724</v>
      </c>
      <c r="D3" s="5" t="s">
        <v>730</v>
      </c>
      <c r="E3" s="34">
        <v>90</v>
      </c>
      <c r="F3" s="34">
        <v>1</v>
      </c>
      <c r="G3" s="34">
        <v>1</v>
      </c>
      <c r="H3" s="34">
        <v>2</v>
      </c>
      <c r="I3" s="34">
        <v>1</v>
      </c>
      <c r="J3" s="35">
        <v>40283</v>
      </c>
      <c r="K3" s="35">
        <v>40284</v>
      </c>
      <c r="L3" s="35">
        <v>25788</v>
      </c>
      <c r="M3" s="34">
        <v>39</v>
      </c>
      <c r="N3" s="34">
        <v>1</v>
      </c>
      <c r="O3" s="34">
        <v>0</v>
      </c>
      <c r="P3" s="34">
        <v>1</v>
      </c>
      <c r="Q3" s="34">
        <v>4</v>
      </c>
      <c r="R3" s="34">
        <v>3</v>
      </c>
      <c r="S3" s="34">
        <v>11</v>
      </c>
      <c r="T3" s="34">
        <v>28</v>
      </c>
      <c r="U3" s="34">
        <v>7.84</v>
      </c>
      <c r="V3" s="34">
        <v>2</v>
      </c>
      <c r="W3" s="34">
        <v>1</v>
      </c>
      <c r="X3" s="34">
        <v>0.437</v>
      </c>
      <c r="Y3" s="34">
        <v>1</v>
      </c>
      <c r="Z3" s="35">
        <v>41115</v>
      </c>
      <c r="AA3" s="34">
        <v>832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1</v>
      </c>
      <c r="AI3" s="34">
        <v>2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1</v>
      </c>
      <c r="AP3" s="34">
        <v>2</v>
      </c>
      <c r="AQ3" s="34">
        <v>0</v>
      </c>
      <c r="AR3" s="34">
        <v>0</v>
      </c>
      <c r="AS3" s="34">
        <v>0</v>
      </c>
      <c r="AT3" s="34" t="s">
        <v>81</v>
      </c>
      <c r="AU3" s="34">
        <v>1</v>
      </c>
      <c r="AV3" s="34" t="s">
        <v>82</v>
      </c>
      <c r="AW3" s="34" t="s">
        <v>463</v>
      </c>
      <c r="AX3" s="34" t="s">
        <v>460</v>
      </c>
      <c r="AY3" s="34">
        <v>0</v>
      </c>
      <c r="AZ3" s="34" t="s">
        <v>81</v>
      </c>
      <c r="BA3" s="34" t="s">
        <v>81</v>
      </c>
      <c r="BB3" s="34" t="s">
        <v>81</v>
      </c>
      <c r="BC3" s="34" t="s">
        <v>81</v>
      </c>
      <c r="BD3" s="34">
        <v>0</v>
      </c>
      <c r="BE3" s="34">
        <v>0</v>
      </c>
      <c r="BF3" s="34">
        <v>0</v>
      </c>
      <c r="BG3" s="34">
        <v>0</v>
      </c>
      <c r="BH3" s="34">
        <v>0</v>
      </c>
      <c r="BI3" s="34">
        <v>0</v>
      </c>
      <c r="BJ3" s="34" t="s">
        <v>81</v>
      </c>
      <c r="BK3" s="34" t="s">
        <v>81</v>
      </c>
      <c r="BL3" s="34" t="s">
        <v>83</v>
      </c>
      <c r="BM3" s="34" t="s">
        <v>81</v>
      </c>
      <c r="BN3" s="34" t="s">
        <v>81</v>
      </c>
      <c r="BO3" s="34" t="s">
        <v>81</v>
      </c>
      <c r="BP3" s="34" t="s">
        <v>81</v>
      </c>
      <c r="BQ3" s="34" t="s">
        <v>81</v>
      </c>
      <c r="BR3" s="34" t="s">
        <v>81</v>
      </c>
      <c r="BS3" s="34" t="s">
        <v>81</v>
      </c>
      <c r="BT3" s="34" t="s">
        <v>81</v>
      </c>
      <c r="BU3" s="34" t="s">
        <v>81</v>
      </c>
      <c r="BV3" s="34">
        <v>0</v>
      </c>
      <c r="BW3" s="34">
        <v>0</v>
      </c>
      <c r="BX3" s="34">
        <v>0</v>
      </c>
      <c r="BY3" s="34">
        <v>3</v>
      </c>
      <c r="BZ3" s="34">
        <v>0</v>
      </c>
      <c r="CA3" s="34">
        <v>0</v>
      </c>
      <c r="CB3" s="34">
        <v>1</v>
      </c>
      <c r="CC3" s="34">
        <v>0</v>
      </c>
      <c r="CD3" s="34">
        <v>0</v>
      </c>
      <c r="CE3" s="34">
        <v>1</v>
      </c>
      <c r="CF3" s="34">
        <v>1</v>
      </c>
      <c r="CG3" s="34">
        <v>1</v>
      </c>
      <c r="CH3" s="34" t="s">
        <v>81</v>
      </c>
      <c r="CI3" s="34" t="s">
        <v>81</v>
      </c>
      <c r="CJ3" s="34">
        <v>2</v>
      </c>
      <c r="CK3" s="34" t="s">
        <v>81</v>
      </c>
      <c r="CL3" s="34">
        <v>1</v>
      </c>
      <c r="CM3" s="34">
        <v>0</v>
      </c>
      <c r="CN3" s="34" t="s">
        <v>81</v>
      </c>
      <c r="CO3" s="34" t="s">
        <v>81</v>
      </c>
      <c r="CP3" s="34" t="s">
        <v>81</v>
      </c>
      <c r="CQ3" s="34" t="s">
        <v>81</v>
      </c>
      <c r="CR3" s="34" t="s">
        <v>81</v>
      </c>
      <c r="CS3" s="34">
        <v>19</v>
      </c>
      <c r="CT3" s="35">
        <v>40283</v>
      </c>
      <c r="CU3" s="34" t="s">
        <v>81</v>
      </c>
      <c r="CV3" s="34">
        <v>105</v>
      </c>
      <c r="CW3" s="34">
        <v>1.1000000000000001</v>
      </c>
      <c r="CX3" s="34">
        <v>66</v>
      </c>
      <c r="CY3" s="34">
        <v>96</v>
      </c>
      <c r="CZ3" s="34">
        <v>119</v>
      </c>
      <c r="DA3" s="34">
        <v>55</v>
      </c>
      <c r="DB3" s="34">
        <v>53</v>
      </c>
      <c r="DC3" s="34">
        <v>25</v>
      </c>
      <c r="DD3" s="34" t="s">
        <v>81</v>
      </c>
      <c r="DE3" s="34">
        <v>1.1000000000000001</v>
      </c>
      <c r="DF3" s="34">
        <v>25</v>
      </c>
      <c r="DG3" s="34" t="s">
        <v>81</v>
      </c>
      <c r="DH3" s="34">
        <v>479</v>
      </c>
      <c r="DI3" s="34" t="s">
        <v>81</v>
      </c>
      <c r="DJ3" s="34" t="s">
        <v>81</v>
      </c>
      <c r="DK3" s="34">
        <v>22</v>
      </c>
      <c r="DL3" s="34">
        <v>131</v>
      </c>
      <c r="DM3" s="34">
        <v>2.9</v>
      </c>
      <c r="DN3" s="34">
        <v>8800</v>
      </c>
      <c r="DO3" s="34">
        <v>81</v>
      </c>
      <c r="DP3" s="34" t="s">
        <v>81</v>
      </c>
      <c r="DQ3" s="34">
        <v>116</v>
      </c>
      <c r="DR3" s="34">
        <v>34</v>
      </c>
      <c r="DS3" s="34">
        <v>1100</v>
      </c>
      <c r="DT3" s="34">
        <v>67</v>
      </c>
      <c r="DU3" s="34">
        <v>13.1</v>
      </c>
      <c r="DV3" s="34">
        <v>32</v>
      </c>
      <c r="DW3" s="34">
        <v>2.23</v>
      </c>
      <c r="DX3" s="34">
        <v>15.7</v>
      </c>
      <c r="DY3" s="34" t="s">
        <v>81</v>
      </c>
      <c r="DZ3" s="34" t="s">
        <v>81</v>
      </c>
      <c r="EA3" s="34">
        <v>1</v>
      </c>
      <c r="EB3" s="34">
        <v>85.26</v>
      </c>
      <c r="EC3" s="34">
        <v>3</v>
      </c>
      <c r="ED3" s="34">
        <v>0</v>
      </c>
      <c r="EE3" s="34">
        <v>1</v>
      </c>
      <c r="EF3" s="34">
        <v>0</v>
      </c>
      <c r="EG3" s="34">
        <v>4</v>
      </c>
      <c r="EH3" s="34">
        <v>2</v>
      </c>
      <c r="EI3" s="34" t="s">
        <v>81</v>
      </c>
      <c r="EJ3" s="34">
        <v>0</v>
      </c>
      <c r="EK3" s="34" t="s">
        <v>81</v>
      </c>
      <c r="EL3" s="34" t="s">
        <v>81</v>
      </c>
      <c r="EM3" s="34">
        <v>1.1000000000000001</v>
      </c>
      <c r="EN3" s="34">
        <v>1.01</v>
      </c>
      <c r="EO3" s="34" t="s">
        <v>81</v>
      </c>
      <c r="EP3" s="34" t="s">
        <v>81</v>
      </c>
      <c r="EQ3" s="34">
        <v>1.08</v>
      </c>
      <c r="ER3" s="34" t="s">
        <v>81</v>
      </c>
      <c r="ES3" s="34">
        <v>1.07</v>
      </c>
      <c r="ET3" s="34">
        <v>0.9</v>
      </c>
      <c r="EU3" s="34" t="s">
        <v>81</v>
      </c>
      <c r="EV3" s="34" t="s">
        <v>81</v>
      </c>
      <c r="EW3" s="34" t="s">
        <v>81</v>
      </c>
      <c r="EX3" s="34" t="s">
        <v>81</v>
      </c>
      <c r="EY3" s="34">
        <v>1</v>
      </c>
      <c r="EZ3" s="34" t="s">
        <v>81</v>
      </c>
      <c r="FA3" s="34" t="s">
        <v>81</v>
      </c>
      <c r="FB3" s="34" t="s">
        <v>81</v>
      </c>
      <c r="FC3" s="34" t="s">
        <v>81</v>
      </c>
      <c r="FD3" s="34" t="s">
        <v>81</v>
      </c>
      <c r="FE3" s="34" t="s">
        <v>81</v>
      </c>
      <c r="FF3" s="34" t="s">
        <v>81</v>
      </c>
      <c r="FG3" s="34" t="s">
        <v>81</v>
      </c>
      <c r="FH3" s="34" t="s">
        <v>81</v>
      </c>
      <c r="FI3" s="34" t="s">
        <v>81</v>
      </c>
      <c r="FJ3" s="34" t="s">
        <v>81</v>
      </c>
      <c r="FK3" s="34" t="s">
        <v>81</v>
      </c>
      <c r="FL3" s="34" t="s">
        <v>81</v>
      </c>
      <c r="FM3" s="34" t="s">
        <v>81</v>
      </c>
      <c r="FN3" s="34" t="s">
        <v>81</v>
      </c>
      <c r="FO3" s="34" t="s">
        <v>81</v>
      </c>
      <c r="FP3" s="34" t="s">
        <v>81</v>
      </c>
      <c r="FQ3" s="34" t="s">
        <v>81</v>
      </c>
      <c r="FR3" s="34" t="s">
        <v>81</v>
      </c>
      <c r="FS3" s="34" t="s">
        <v>81</v>
      </c>
      <c r="FT3" s="34" t="s">
        <v>81</v>
      </c>
      <c r="FU3" s="34" t="s">
        <v>81</v>
      </c>
      <c r="FV3" s="34" t="s">
        <v>81</v>
      </c>
      <c r="FW3" s="34" t="s">
        <v>81</v>
      </c>
      <c r="FX3" s="34" t="s">
        <v>81</v>
      </c>
      <c r="FY3" s="34" t="s">
        <v>81</v>
      </c>
      <c r="FZ3" s="34">
        <v>90</v>
      </c>
      <c r="GA3" s="34">
        <v>71.260000000000005</v>
      </c>
    </row>
    <row r="4" spans="1:183" x14ac:dyDescent="0.25">
      <c r="A4" s="34">
        <v>2</v>
      </c>
      <c r="B4" s="4" t="s">
        <v>84</v>
      </c>
      <c r="C4" s="5" t="s">
        <v>724</v>
      </c>
      <c r="D4" s="5" t="s">
        <v>730</v>
      </c>
      <c r="E4" s="34">
        <v>90</v>
      </c>
      <c r="F4" s="34">
        <v>1</v>
      </c>
      <c r="G4" s="34">
        <v>1</v>
      </c>
      <c r="H4" s="34">
        <v>2</v>
      </c>
      <c r="I4" s="34">
        <v>1</v>
      </c>
      <c r="J4" s="35">
        <v>40304</v>
      </c>
      <c r="K4" s="35">
        <v>40305</v>
      </c>
      <c r="L4" s="35">
        <v>24760</v>
      </c>
      <c r="M4" s="34">
        <v>42</v>
      </c>
      <c r="N4" s="34">
        <v>2</v>
      </c>
      <c r="O4" s="34">
        <v>0</v>
      </c>
      <c r="P4" s="34">
        <v>1</v>
      </c>
      <c r="Q4" s="34">
        <v>4</v>
      </c>
      <c r="R4" s="34">
        <v>2</v>
      </c>
      <c r="S4" s="34">
        <v>9</v>
      </c>
      <c r="T4" s="34">
        <v>22</v>
      </c>
      <c r="U4" s="34">
        <v>7.04</v>
      </c>
      <c r="V4" s="34">
        <v>2</v>
      </c>
      <c r="W4" s="34">
        <v>1</v>
      </c>
      <c r="X4" s="34">
        <v>0.14399999999999999</v>
      </c>
      <c r="Y4" s="34">
        <v>1</v>
      </c>
      <c r="Z4" s="35">
        <v>40812</v>
      </c>
      <c r="AA4" s="34">
        <v>508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  <c r="AR4" s="34">
        <v>0</v>
      </c>
      <c r="AS4" s="34">
        <v>0</v>
      </c>
      <c r="AT4" s="34" t="s">
        <v>81</v>
      </c>
      <c r="AU4" s="34">
        <v>0</v>
      </c>
      <c r="AV4" s="34" t="s">
        <v>81</v>
      </c>
      <c r="AW4" s="34" t="s">
        <v>81</v>
      </c>
      <c r="AX4" s="34" t="s">
        <v>81</v>
      </c>
      <c r="AY4" s="34">
        <v>0</v>
      </c>
      <c r="AZ4" s="34" t="s">
        <v>81</v>
      </c>
      <c r="BA4" s="34" t="s">
        <v>81</v>
      </c>
      <c r="BB4" s="34" t="s">
        <v>81</v>
      </c>
      <c r="BC4" s="34" t="s">
        <v>81</v>
      </c>
      <c r="BD4" s="34">
        <v>0</v>
      </c>
      <c r="BE4" s="34">
        <v>0</v>
      </c>
      <c r="BF4" s="34">
        <v>0</v>
      </c>
      <c r="BG4" s="34">
        <v>0</v>
      </c>
      <c r="BH4" s="34">
        <v>0</v>
      </c>
      <c r="BI4" s="34">
        <v>0</v>
      </c>
      <c r="BJ4" s="34" t="s">
        <v>81</v>
      </c>
      <c r="BK4" s="34" t="s">
        <v>81</v>
      </c>
      <c r="BL4" s="34" t="s">
        <v>81</v>
      </c>
      <c r="BM4" s="34" t="s">
        <v>81</v>
      </c>
      <c r="BN4" s="34" t="s">
        <v>81</v>
      </c>
      <c r="BO4" s="34" t="s">
        <v>81</v>
      </c>
      <c r="BP4" s="34" t="s">
        <v>81</v>
      </c>
      <c r="BQ4" s="34" t="s">
        <v>81</v>
      </c>
      <c r="BR4" s="34" t="s">
        <v>81</v>
      </c>
      <c r="BS4" s="34">
        <v>0</v>
      </c>
      <c r="BT4" s="34">
        <v>0</v>
      </c>
      <c r="BU4" s="34">
        <v>0</v>
      </c>
      <c r="BV4" s="34">
        <v>1</v>
      </c>
      <c r="BW4" s="34">
        <v>1</v>
      </c>
      <c r="BX4" s="34">
        <v>0</v>
      </c>
      <c r="BY4" s="34">
        <v>1</v>
      </c>
      <c r="BZ4" s="34">
        <v>0</v>
      </c>
      <c r="CA4" s="34">
        <v>0</v>
      </c>
      <c r="CB4" s="34">
        <v>1</v>
      </c>
      <c r="CC4" s="34">
        <v>0</v>
      </c>
      <c r="CD4" s="34">
        <v>0</v>
      </c>
      <c r="CE4" s="34">
        <v>1</v>
      </c>
      <c r="CF4" s="34">
        <v>1</v>
      </c>
      <c r="CG4" s="34">
        <v>1</v>
      </c>
      <c r="CH4" s="34" t="s">
        <v>81</v>
      </c>
      <c r="CI4" s="34" t="s">
        <v>81</v>
      </c>
      <c r="CJ4" s="34">
        <v>2</v>
      </c>
      <c r="CK4" s="34" t="s">
        <v>81</v>
      </c>
      <c r="CL4" s="34">
        <v>1</v>
      </c>
      <c r="CM4" s="34">
        <v>0</v>
      </c>
      <c r="CN4" s="34" t="s">
        <v>81</v>
      </c>
      <c r="CO4" s="34" t="s">
        <v>81</v>
      </c>
      <c r="CP4" s="34" t="s">
        <v>81</v>
      </c>
      <c r="CQ4" s="34" t="s">
        <v>81</v>
      </c>
      <c r="CR4" s="34" t="s">
        <v>81</v>
      </c>
      <c r="CS4" s="34">
        <v>25</v>
      </c>
      <c r="CT4" s="35">
        <v>40304</v>
      </c>
      <c r="CU4" s="34" t="s">
        <v>81</v>
      </c>
      <c r="CV4" s="34">
        <v>83</v>
      </c>
      <c r="CW4" s="34">
        <v>0.94</v>
      </c>
      <c r="CX4" s="34">
        <v>158</v>
      </c>
      <c r="CY4" s="34">
        <v>137</v>
      </c>
      <c r="CZ4" s="34">
        <v>128</v>
      </c>
      <c r="DA4" s="34">
        <v>127</v>
      </c>
      <c r="DB4" s="34">
        <v>186</v>
      </c>
      <c r="DC4" s="34">
        <v>16.399999999999999</v>
      </c>
      <c r="DD4" s="34" t="s">
        <v>81</v>
      </c>
      <c r="DE4" s="34">
        <v>1</v>
      </c>
      <c r="DF4" s="34">
        <v>16.399999999999999</v>
      </c>
      <c r="DG4" s="34">
        <v>12.8</v>
      </c>
      <c r="DH4" s="34">
        <v>356</v>
      </c>
      <c r="DI4" s="34" t="s">
        <v>81</v>
      </c>
      <c r="DJ4" s="34" t="s">
        <v>81</v>
      </c>
      <c r="DK4" s="34">
        <v>22</v>
      </c>
      <c r="DL4" s="34">
        <v>132</v>
      </c>
      <c r="DM4" s="34">
        <v>4</v>
      </c>
      <c r="DN4" s="34">
        <v>14900</v>
      </c>
      <c r="DO4" s="34">
        <v>86</v>
      </c>
      <c r="DP4" s="34" t="s">
        <v>81</v>
      </c>
      <c r="DQ4" s="34">
        <v>11</v>
      </c>
      <c r="DR4" s="34">
        <v>34</v>
      </c>
      <c r="DS4" s="34">
        <v>1103</v>
      </c>
      <c r="DT4" s="34">
        <v>90</v>
      </c>
      <c r="DU4" s="34">
        <v>13.2</v>
      </c>
      <c r="DV4" s="34">
        <v>53</v>
      </c>
      <c r="DW4" s="34">
        <v>1.56</v>
      </c>
      <c r="DX4" s="34">
        <v>10.7</v>
      </c>
      <c r="DY4" s="34" t="s">
        <v>81</v>
      </c>
      <c r="DZ4" s="34" t="s">
        <v>81</v>
      </c>
      <c r="EA4" s="34">
        <v>0</v>
      </c>
      <c r="EB4" s="34">
        <v>77.12</v>
      </c>
      <c r="EC4" s="34">
        <v>3</v>
      </c>
      <c r="ED4" s="34">
        <v>0</v>
      </c>
      <c r="EE4" s="34">
        <v>3</v>
      </c>
      <c r="EF4" s="34">
        <v>0</v>
      </c>
      <c r="EG4" s="34">
        <v>6</v>
      </c>
      <c r="EH4" s="34">
        <v>3</v>
      </c>
      <c r="EI4" s="34" t="s">
        <v>81</v>
      </c>
      <c r="EJ4" s="34">
        <v>0</v>
      </c>
      <c r="EK4" s="34" t="s">
        <v>81</v>
      </c>
      <c r="EL4" s="34" t="s">
        <v>81</v>
      </c>
      <c r="EM4" s="34">
        <v>0.94</v>
      </c>
      <c r="EN4" s="34" t="s">
        <v>81</v>
      </c>
      <c r="EO4" s="34" t="s">
        <v>81</v>
      </c>
      <c r="EP4" s="34" t="s">
        <v>81</v>
      </c>
      <c r="EQ4" s="34">
        <v>0.88</v>
      </c>
      <c r="ER4" s="34" t="s">
        <v>81</v>
      </c>
      <c r="ES4" s="34" t="s">
        <v>81</v>
      </c>
      <c r="ET4" s="34">
        <v>0.79</v>
      </c>
      <c r="EU4" s="34" t="s">
        <v>81</v>
      </c>
      <c r="EV4" s="34" t="s">
        <v>81</v>
      </c>
      <c r="EW4" s="34" t="s">
        <v>81</v>
      </c>
      <c r="EX4" s="34" t="s">
        <v>81</v>
      </c>
      <c r="EY4" s="34" t="s">
        <v>81</v>
      </c>
      <c r="EZ4" s="34" t="s">
        <v>81</v>
      </c>
      <c r="FA4" s="34" t="s">
        <v>81</v>
      </c>
      <c r="FB4" s="34" t="s">
        <v>81</v>
      </c>
      <c r="FC4" s="34" t="s">
        <v>81</v>
      </c>
      <c r="FD4" s="34" t="s">
        <v>81</v>
      </c>
      <c r="FE4" s="34" t="s">
        <v>81</v>
      </c>
      <c r="FF4" s="34" t="s">
        <v>81</v>
      </c>
      <c r="FG4" s="34" t="s">
        <v>81</v>
      </c>
      <c r="FH4" s="34" t="s">
        <v>81</v>
      </c>
      <c r="FI4" s="34" t="s">
        <v>81</v>
      </c>
      <c r="FJ4" s="34" t="s">
        <v>81</v>
      </c>
      <c r="FK4" s="34" t="s">
        <v>81</v>
      </c>
      <c r="FL4" s="34" t="s">
        <v>81</v>
      </c>
      <c r="FM4" s="34" t="s">
        <v>81</v>
      </c>
      <c r="FN4" s="34" t="s">
        <v>81</v>
      </c>
      <c r="FO4" s="34" t="s">
        <v>81</v>
      </c>
      <c r="FP4" s="34" t="s">
        <v>81</v>
      </c>
      <c r="FQ4" s="34" t="s">
        <v>81</v>
      </c>
      <c r="FR4" s="34" t="s">
        <v>81</v>
      </c>
      <c r="FS4" s="34" t="s">
        <v>81</v>
      </c>
      <c r="FT4" s="34" t="s">
        <v>81</v>
      </c>
      <c r="FU4" s="34" t="s">
        <v>81</v>
      </c>
      <c r="FV4" s="34" t="s">
        <v>81</v>
      </c>
      <c r="FW4" s="34" t="s">
        <v>81</v>
      </c>
      <c r="FX4" s="34" t="s">
        <v>81</v>
      </c>
      <c r="FY4" s="34" t="s">
        <v>81</v>
      </c>
      <c r="FZ4" s="34">
        <v>90</v>
      </c>
      <c r="GA4" s="34">
        <v>63.12</v>
      </c>
    </row>
    <row r="5" spans="1:183" x14ac:dyDescent="0.25">
      <c r="A5" s="34">
        <v>3</v>
      </c>
      <c r="B5" s="4" t="s">
        <v>86</v>
      </c>
      <c r="C5" s="5" t="s">
        <v>724</v>
      </c>
      <c r="D5" s="5" t="s">
        <v>730</v>
      </c>
      <c r="E5" s="34">
        <v>90</v>
      </c>
      <c r="F5" s="34">
        <v>1</v>
      </c>
      <c r="G5" s="34">
        <v>2</v>
      </c>
      <c r="H5" s="34">
        <v>2</v>
      </c>
      <c r="I5" s="34">
        <v>1</v>
      </c>
      <c r="J5" s="35">
        <v>40378</v>
      </c>
      <c r="K5" s="35">
        <v>40381</v>
      </c>
      <c r="L5" s="35">
        <v>22605</v>
      </c>
      <c r="M5" s="34">
        <v>48</v>
      </c>
      <c r="N5" s="34">
        <v>2</v>
      </c>
      <c r="O5" s="34">
        <v>1</v>
      </c>
      <c r="P5" s="34">
        <v>1</v>
      </c>
      <c r="Q5" s="34">
        <v>4</v>
      </c>
      <c r="R5" s="34">
        <v>2</v>
      </c>
      <c r="S5" s="34">
        <v>9</v>
      </c>
      <c r="T5" s="34">
        <v>26</v>
      </c>
      <c r="U5" s="34">
        <v>8.34</v>
      </c>
      <c r="V5" s="34">
        <v>2</v>
      </c>
      <c r="W5" s="34">
        <v>1</v>
      </c>
      <c r="X5" s="34">
        <v>0.158</v>
      </c>
      <c r="Y5" s="34">
        <v>1</v>
      </c>
      <c r="Z5" s="35">
        <v>40585</v>
      </c>
      <c r="AA5" s="34">
        <v>207</v>
      </c>
      <c r="AB5" s="34">
        <v>1</v>
      </c>
      <c r="AC5" s="34">
        <v>0</v>
      </c>
      <c r="AD5" s="34">
        <v>0</v>
      </c>
      <c r="AE5" s="34">
        <v>1</v>
      </c>
      <c r="AF5" s="34">
        <v>1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  <c r="AR5" s="34">
        <v>0</v>
      </c>
      <c r="AS5" s="34">
        <v>0</v>
      </c>
      <c r="AT5" s="34">
        <v>0</v>
      </c>
      <c r="AU5" s="34">
        <v>0</v>
      </c>
      <c r="AV5" s="34" t="s">
        <v>81</v>
      </c>
      <c r="AW5" s="34" t="s">
        <v>81</v>
      </c>
      <c r="AX5" s="34" t="s">
        <v>81</v>
      </c>
      <c r="AY5" s="34">
        <v>0</v>
      </c>
      <c r="AZ5" s="34" t="s">
        <v>81</v>
      </c>
      <c r="BA5" s="34" t="s">
        <v>81</v>
      </c>
      <c r="BB5" s="34" t="s">
        <v>81</v>
      </c>
      <c r="BC5" s="34" t="s">
        <v>81</v>
      </c>
      <c r="BD5" s="34">
        <v>0</v>
      </c>
      <c r="BE5" s="34">
        <v>0</v>
      </c>
      <c r="BF5" s="34">
        <v>0</v>
      </c>
      <c r="BG5" s="34">
        <v>0</v>
      </c>
      <c r="BH5" s="34">
        <v>0</v>
      </c>
      <c r="BI5" s="34">
        <v>0</v>
      </c>
      <c r="BJ5" s="34" t="s">
        <v>81</v>
      </c>
      <c r="BK5" s="34" t="s">
        <v>81</v>
      </c>
      <c r="BL5" s="34" t="s">
        <v>81</v>
      </c>
      <c r="BM5" s="34">
        <v>124</v>
      </c>
      <c r="BN5" s="34">
        <v>66</v>
      </c>
      <c r="BO5" s="34" t="s">
        <v>81</v>
      </c>
      <c r="BP5" s="34">
        <v>100</v>
      </c>
      <c r="BQ5" s="34">
        <v>36</v>
      </c>
      <c r="BR5" s="34" t="s">
        <v>81</v>
      </c>
      <c r="BS5" s="34">
        <v>0</v>
      </c>
      <c r="BT5" s="34">
        <v>1</v>
      </c>
      <c r="BU5" s="34" t="s">
        <v>81</v>
      </c>
      <c r="BV5" s="34">
        <v>0</v>
      </c>
      <c r="BW5" s="34">
        <v>1</v>
      </c>
      <c r="BX5" s="34">
        <v>0</v>
      </c>
      <c r="BY5" s="34">
        <v>1</v>
      </c>
      <c r="BZ5" s="34">
        <v>0</v>
      </c>
      <c r="CA5" s="34">
        <v>0</v>
      </c>
      <c r="CB5" s="34">
        <v>1</v>
      </c>
      <c r="CC5" s="34">
        <v>0</v>
      </c>
      <c r="CD5" s="34">
        <v>0</v>
      </c>
      <c r="CE5" s="34">
        <v>1</v>
      </c>
      <c r="CF5" s="34">
        <v>1</v>
      </c>
      <c r="CG5" s="34">
        <v>1</v>
      </c>
      <c r="CH5" s="34" t="s">
        <v>81</v>
      </c>
      <c r="CI5" s="34" t="s">
        <v>81</v>
      </c>
      <c r="CJ5" s="34">
        <v>2</v>
      </c>
      <c r="CK5" s="34" t="s">
        <v>81</v>
      </c>
      <c r="CL5" s="34">
        <v>1</v>
      </c>
      <c r="CM5" s="34">
        <v>0</v>
      </c>
      <c r="CN5" s="34" t="s">
        <v>81</v>
      </c>
      <c r="CO5" s="34" t="s">
        <v>81</v>
      </c>
      <c r="CP5" s="34" t="s">
        <v>81</v>
      </c>
      <c r="CQ5" s="34" t="s">
        <v>81</v>
      </c>
      <c r="CR5" s="34" t="s">
        <v>81</v>
      </c>
      <c r="CS5" s="34">
        <v>21</v>
      </c>
      <c r="CT5" s="35">
        <v>40378</v>
      </c>
      <c r="CU5" s="34" t="s">
        <v>81</v>
      </c>
      <c r="CV5" s="34">
        <v>69</v>
      </c>
      <c r="CW5" s="34">
        <v>0.72</v>
      </c>
      <c r="CX5" s="34">
        <v>206</v>
      </c>
      <c r="CY5" s="34">
        <v>133</v>
      </c>
      <c r="CZ5" s="34">
        <v>195</v>
      </c>
      <c r="DA5" s="34">
        <v>44</v>
      </c>
      <c r="DB5" s="34">
        <v>434</v>
      </c>
      <c r="DC5" s="34">
        <v>20.5</v>
      </c>
      <c r="DD5" s="34" t="s">
        <v>81</v>
      </c>
      <c r="DE5" s="34">
        <v>1</v>
      </c>
      <c r="DF5" s="34">
        <v>20.5</v>
      </c>
      <c r="DG5" s="34">
        <v>11.5</v>
      </c>
      <c r="DH5" s="34">
        <v>380</v>
      </c>
      <c r="DI5" s="34" t="s">
        <v>81</v>
      </c>
      <c r="DJ5" s="34" t="s">
        <v>81</v>
      </c>
      <c r="DK5" s="34">
        <v>32</v>
      </c>
      <c r="DL5" s="34">
        <v>135</v>
      </c>
      <c r="DM5" s="34">
        <v>3.2</v>
      </c>
      <c r="DN5" s="34">
        <v>7800</v>
      </c>
      <c r="DO5" s="34">
        <v>81</v>
      </c>
      <c r="DP5" s="34" t="s">
        <v>81</v>
      </c>
      <c r="DQ5" s="34">
        <v>125</v>
      </c>
      <c r="DR5" s="34">
        <v>38</v>
      </c>
      <c r="DS5" s="34">
        <v>999</v>
      </c>
      <c r="DT5" s="34">
        <v>51</v>
      </c>
      <c r="DU5" s="34">
        <v>13.5</v>
      </c>
      <c r="DV5" s="34">
        <v>37</v>
      </c>
      <c r="DW5" s="34">
        <v>2.11</v>
      </c>
      <c r="DX5" s="34">
        <v>12</v>
      </c>
      <c r="DY5" s="34" t="s">
        <v>81</v>
      </c>
      <c r="DZ5" s="34" t="s">
        <v>81</v>
      </c>
      <c r="EA5" s="34">
        <v>0</v>
      </c>
      <c r="EB5" s="34">
        <v>82.6</v>
      </c>
      <c r="EC5" s="34">
        <v>3</v>
      </c>
      <c r="ED5" s="34">
        <v>0</v>
      </c>
      <c r="EE5" s="34">
        <v>2</v>
      </c>
      <c r="EF5" s="34">
        <v>0</v>
      </c>
      <c r="EG5" s="34">
        <v>5</v>
      </c>
      <c r="EH5" s="34">
        <v>2</v>
      </c>
      <c r="EI5" s="34" t="s">
        <v>81</v>
      </c>
      <c r="EJ5" s="34">
        <v>0</v>
      </c>
      <c r="EK5" s="34" t="s">
        <v>81</v>
      </c>
      <c r="EL5" s="34" t="s">
        <v>81</v>
      </c>
      <c r="EM5" s="34">
        <v>0.72</v>
      </c>
      <c r="EN5" s="34">
        <v>0.5</v>
      </c>
      <c r="EO5" s="34">
        <v>0.59</v>
      </c>
      <c r="EP5" s="34">
        <v>0.67</v>
      </c>
      <c r="EQ5" s="34" t="s">
        <v>81</v>
      </c>
      <c r="ER5" s="34" t="s">
        <v>81</v>
      </c>
      <c r="ES5" s="34" t="s">
        <v>81</v>
      </c>
      <c r="ET5" s="34">
        <v>0.59</v>
      </c>
      <c r="EU5" s="34" t="s">
        <v>81</v>
      </c>
      <c r="EV5" s="34" t="s">
        <v>81</v>
      </c>
      <c r="EW5" s="34" t="s">
        <v>81</v>
      </c>
      <c r="EX5" s="34" t="s">
        <v>81</v>
      </c>
      <c r="EY5" s="34" t="s">
        <v>81</v>
      </c>
      <c r="EZ5" s="34" t="s">
        <v>81</v>
      </c>
      <c r="FA5" s="34" t="s">
        <v>81</v>
      </c>
      <c r="FB5" s="34" t="s">
        <v>81</v>
      </c>
      <c r="FC5" s="34" t="s">
        <v>81</v>
      </c>
      <c r="FD5" s="34" t="s">
        <v>81</v>
      </c>
      <c r="FE5" s="34" t="s">
        <v>81</v>
      </c>
      <c r="FF5" s="34" t="s">
        <v>81</v>
      </c>
      <c r="FG5" s="34" t="s">
        <v>81</v>
      </c>
      <c r="FH5" s="34" t="s">
        <v>81</v>
      </c>
      <c r="FI5" s="34" t="s">
        <v>81</v>
      </c>
      <c r="FJ5" s="34" t="s">
        <v>81</v>
      </c>
      <c r="FK5" s="34" t="s">
        <v>81</v>
      </c>
      <c r="FL5" s="34" t="s">
        <v>81</v>
      </c>
      <c r="FM5" s="34" t="s">
        <v>81</v>
      </c>
      <c r="FN5" s="34" t="s">
        <v>81</v>
      </c>
      <c r="FO5" s="34" t="s">
        <v>81</v>
      </c>
      <c r="FP5" s="34" t="s">
        <v>81</v>
      </c>
      <c r="FQ5" s="34" t="s">
        <v>81</v>
      </c>
      <c r="FR5" s="34" t="s">
        <v>81</v>
      </c>
      <c r="FS5" s="34" t="s">
        <v>81</v>
      </c>
      <c r="FT5" s="34" t="s">
        <v>81</v>
      </c>
      <c r="FU5" s="34" t="s">
        <v>81</v>
      </c>
      <c r="FV5" s="34" t="s">
        <v>81</v>
      </c>
      <c r="FW5" s="34" t="s">
        <v>81</v>
      </c>
      <c r="FX5" s="34" t="s">
        <v>81</v>
      </c>
      <c r="FY5" s="34" t="s">
        <v>81</v>
      </c>
      <c r="FZ5" s="34">
        <v>90</v>
      </c>
      <c r="GA5" s="34">
        <v>68.599999999999994</v>
      </c>
    </row>
    <row r="6" spans="1:183" x14ac:dyDescent="0.25">
      <c r="A6" s="34">
        <v>4</v>
      </c>
      <c r="B6" s="4" t="s">
        <v>87</v>
      </c>
      <c r="C6" s="5" t="s">
        <v>725</v>
      </c>
      <c r="D6" s="5" t="s">
        <v>730</v>
      </c>
      <c r="E6" s="34">
        <v>90</v>
      </c>
      <c r="F6" s="34">
        <v>1</v>
      </c>
      <c r="G6" s="34">
        <v>1</v>
      </c>
      <c r="H6" s="34">
        <v>2</v>
      </c>
      <c r="I6" s="34">
        <v>1</v>
      </c>
      <c r="J6" s="35">
        <v>40392</v>
      </c>
      <c r="K6" s="35">
        <v>40393</v>
      </c>
      <c r="L6" s="35">
        <v>16319</v>
      </c>
      <c r="M6" s="34">
        <v>65</v>
      </c>
      <c r="N6" s="34">
        <v>1</v>
      </c>
      <c r="O6" s="34">
        <v>1</v>
      </c>
      <c r="P6" s="34">
        <v>1</v>
      </c>
      <c r="Q6" s="34">
        <v>4</v>
      </c>
      <c r="R6" s="34">
        <v>2</v>
      </c>
      <c r="S6" s="34">
        <v>9</v>
      </c>
      <c r="T6" s="34">
        <v>27</v>
      </c>
      <c r="U6" s="34">
        <v>11.7</v>
      </c>
      <c r="V6" s="34">
        <v>3</v>
      </c>
      <c r="W6" s="34">
        <v>1</v>
      </c>
      <c r="X6" s="34">
        <v>0.57399999999999995</v>
      </c>
      <c r="Y6" s="34">
        <v>0</v>
      </c>
      <c r="Z6" s="35">
        <v>41107</v>
      </c>
      <c r="AA6" s="34">
        <v>715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  <c r="AR6" s="34">
        <v>0</v>
      </c>
      <c r="AS6" s="34">
        <v>0</v>
      </c>
      <c r="AT6" s="34">
        <v>0</v>
      </c>
      <c r="AU6" s="34">
        <v>0</v>
      </c>
      <c r="AV6" s="34" t="s">
        <v>81</v>
      </c>
      <c r="AW6" s="34" t="s">
        <v>81</v>
      </c>
      <c r="AX6" s="34" t="s">
        <v>81</v>
      </c>
      <c r="AY6" s="34">
        <v>0</v>
      </c>
      <c r="AZ6" s="34" t="s">
        <v>81</v>
      </c>
      <c r="BA6" s="34" t="s">
        <v>81</v>
      </c>
      <c r="BB6" s="34" t="s">
        <v>81</v>
      </c>
      <c r="BC6" s="34" t="s">
        <v>81</v>
      </c>
      <c r="BD6" s="34">
        <v>0</v>
      </c>
      <c r="BE6" s="34">
        <v>0</v>
      </c>
      <c r="BF6" s="34">
        <v>0</v>
      </c>
      <c r="BG6" s="34">
        <v>0</v>
      </c>
      <c r="BH6" s="34">
        <v>0</v>
      </c>
      <c r="BI6" s="34">
        <v>0</v>
      </c>
      <c r="BJ6" s="34" t="s">
        <v>81</v>
      </c>
      <c r="BK6" s="34" t="s">
        <v>81</v>
      </c>
      <c r="BL6" s="34" t="s">
        <v>88</v>
      </c>
      <c r="BM6" s="34">
        <v>130</v>
      </c>
      <c r="BN6" s="34">
        <v>80</v>
      </c>
      <c r="BO6" s="34" t="s">
        <v>81</v>
      </c>
      <c r="BP6" s="34">
        <v>110</v>
      </c>
      <c r="BQ6" s="34">
        <v>37.6</v>
      </c>
      <c r="BR6" s="34" t="s">
        <v>81</v>
      </c>
      <c r="BS6" s="34" t="s">
        <v>81</v>
      </c>
      <c r="BT6" s="34" t="s">
        <v>81</v>
      </c>
      <c r="BU6" s="34" t="s">
        <v>81</v>
      </c>
      <c r="BV6" s="34">
        <v>0</v>
      </c>
      <c r="BW6" s="34">
        <v>1</v>
      </c>
      <c r="BX6" s="34">
        <v>0</v>
      </c>
      <c r="BY6" s="34">
        <v>1</v>
      </c>
      <c r="BZ6" s="34">
        <v>0</v>
      </c>
      <c r="CA6" s="34">
        <v>0</v>
      </c>
      <c r="CB6" s="34">
        <v>1</v>
      </c>
      <c r="CC6" s="34">
        <v>0</v>
      </c>
      <c r="CD6" s="34">
        <v>0</v>
      </c>
      <c r="CE6" s="34">
        <v>1</v>
      </c>
      <c r="CF6" s="34">
        <v>1</v>
      </c>
      <c r="CG6" s="34">
        <v>1</v>
      </c>
      <c r="CH6" s="34" t="s">
        <v>81</v>
      </c>
      <c r="CI6" s="34" t="s">
        <v>81</v>
      </c>
      <c r="CJ6" s="34">
        <v>2</v>
      </c>
      <c r="CK6" s="34" t="s">
        <v>81</v>
      </c>
      <c r="CL6" s="34">
        <v>1</v>
      </c>
      <c r="CM6" s="34">
        <v>0</v>
      </c>
      <c r="CN6" s="34" t="s">
        <v>81</v>
      </c>
      <c r="CO6" s="34" t="s">
        <v>81</v>
      </c>
      <c r="CP6" s="34" t="s">
        <v>81</v>
      </c>
      <c r="CQ6" s="34" t="s">
        <v>81</v>
      </c>
      <c r="CR6" s="34" t="s">
        <v>81</v>
      </c>
      <c r="CS6" s="34">
        <v>15.5</v>
      </c>
      <c r="CT6" s="35">
        <v>40393</v>
      </c>
      <c r="CU6" s="34" t="s">
        <v>81</v>
      </c>
      <c r="CV6" s="34">
        <v>80</v>
      </c>
      <c r="CW6" s="34">
        <v>1.1599999999999999</v>
      </c>
      <c r="CX6" s="34">
        <v>155</v>
      </c>
      <c r="CY6" s="34">
        <v>220</v>
      </c>
      <c r="CZ6" s="34">
        <v>136</v>
      </c>
      <c r="DA6" s="34">
        <v>78</v>
      </c>
      <c r="DB6" s="34">
        <v>303</v>
      </c>
      <c r="DC6" s="34">
        <v>35.799999999999997</v>
      </c>
      <c r="DD6" s="34" t="s">
        <v>81</v>
      </c>
      <c r="DE6" s="34">
        <v>1.1599999999999999</v>
      </c>
      <c r="DF6" s="34">
        <v>35.799999999999997</v>
      </c>
      <c r="DG6" s="34">
        <v>24</v>
      </c>
      <c r="DH6" s="34">
        <v>498</v>
      </c>
      <c r="DI6" s="34" t="s">
        <v>81</v>
      </c>
      <c r="DJ6" s="34" t="s">
        <v>81</v>
      </c>
      <c r="DK6" s="34">
        <v>29</v>
      </c>
      <c r="DL6" s="34">
        <v>145</v>
      </c>
      <c r="DM6" s="34">
        <v>3.5</v>
      </c>
      <c r="DN6" s="34">
        <v>7500</v>
      </c>
      <c r="DO6" s="34">
        <v>84</v>
      </c>
      <c r="DP6" s="34" t="s">
        <v>81</v>
      </c>
      <c r="DQ6" s="34">
        <v>114</v>
      </c>
      <c r="DR6" s="34">
        <v>36</v>
      </c>
      <c r="DS6" s="34">
        <v>1143</v>
      </c>
      <c r="DT6" s="34">
        <v>152</v>
      </c>
      <c r="DU6" s="34">
        <v>14.5</v>
      </c>
      <c r="DV6" s="34">
        <v>50</v>
      </c>
      <c r="DW6" s="34">
        <v>1.62</v>
      </c>
      <c r="DX6" s="34">
        <v>22.4</v>
      </c>
      <c r="DY6" s="34" t="s">
        <v>81</v>
      </c>
      <c r="DZ6" s="34" t="s">
        <v>81</v>
      </c>
      <c r="EA6" s="34">
        <v>0</v>
      </c>
      <c r="EB6" s="34">
        <v>102.5</v>
      </c>
      <c r="EC6" s="34">
        <v>3</v>
      </c>
      <c r="ED6" s="34">
        <v>-1</v>
      </c>
      <c r="EE6" s="34">
        <v>4</v>
      </c>
      <c r="EF6" s="34">
        <v>-1</v>
      </c>
      <c r="EG6" s="34">
        <v>5</v>
      </c>
      <c r="EH6" s="34">
        <v>2</v>
      </c>
      <c r="EI6" s="34" t="s">
        <v>81</v>
      </c>
      <c r="EJ6" s="34">
        <v>0</v>
      </c>
      <c r="EK6" s="34" t="s">
        <v>81</v>
      </c>
      <c r="EL6" s="34" t="s">
        <v>81</v>
      </c>
      <c r="EM6" s="34" t="s">
        <v>81</v>
      </c>
      <c r="EN6" s="34">
        <v>1.1599999999999999</v>
      </c>
      <c r="EO6" s="34">
        <v>1.2</v>
      </c>
      <c r="EP6" s="34">
        <v>1.36</v>
      </c>
      <c r="EQ6" s="34" t="s">
        <v>81</v>
      </c>
      <c r="ER6" s="34" t="s">
        <v>81</v>
      </c>
      <c r="ES6" s="34" t="s">
        <v>81</v>
      </c>
      <c r="ET6" s="34">
        <v>1.1100000000000001</v>
      </c>
      <c r="EU6" s="34">
        <v>0.85</v>
      </c>
      <c r="EV6" s="34">
        <v>0.9</v>
      </c>
      <c r="EW6" s="34" t="s">
        <v>81</v>
      </c>
      <c r="EX6" s="34" t="s">
        <v>81</v>
      </c>
      <c r="EY6" s="34" t="s">
        <v>81</v>
      </c>
      <c r="EZ6" s="34" t="s">
        <v>81</v>
      </c>
      <c r="FA6" s="34" t="s">
        <v>81</v>
      </c>
      <c r="FB6" s="34" t="s">
        <v>81</v>
      </c>
      <c r="FC6" s="34" t="s">
        <v>81</v>
      </c>
      <c r="FD6" s="34" t="s">
        <v>81</v>
      </c>
      <c r="FE6" s="34" t="s">
        <v>81</v>
      </c>
      <c r="FF6" s="34" t="s">
        <v>81</v>
      </c>
      <c r="FG6" s="34" t="s">
        <v>81</v>
      </c>
      <c r="FH6" s="34" t="s">
        <v>81</v>
      </c>
      <c r="FI6" s="34" t="s">
        <v>81</v>
      </c>
      <c r="FJ6" s="34" t="s">
        <v>81</v>
      </c>
      <c r="FK6" s="34" t="s">
        <v>81</v>
      </c>
      <c r="FL6" s="34" t="s">
        <v>81</v>
      </c>
      <c r="FM6" s="34" t="s">
        <v>81</v>
      </c>
      <c r="FN6" s="34" t="s">
        <v>81</v>
      </c>
      <c r="FO6" s="34" t="s">
        <v>81</v>
      </c>
      <c r="FP6" s="34" t="s">
        <v>81</v>
      </c>
      <c r="FQ6" s="34" t="s">
        <v>81</v>
      </c>
      <c r="FR6" s="34" t="s">
        <v>81</v>
      </c>
      <c r="FS6" s="34" t="s">
        <v>81</v>
      </c>
      <c r="FT6" s="34" t="s">
        <v>81</v>
      </c>
      <c r="FU6" s="34" t="s">
        <v>81</v>
      </c>
      <c r="FV6" s="34" t="s">
        <v>81</v>
      </c>
      <c r="FW6" s="34" t="s">
        <v>81</v>
      </c>
      <c r="FX6" s="34" t="s">
        <v>81</v>
      </c>
      <c r="FY6" s="34" t="s">
        <v>81</v>
      </c>
      <c r="FZ6" s="34">
        <v>90</v>
      </c>
      <c r="GA6" s="34">
        <v>88.5</v>
      </c>
    </row>
    <row r="7" spans="1:183" x14ac:dyDescent="0.25">
      <c r="A7" s="34">
        <v>5</v>
      </c>
      <c r="B7" s="4" t="s">
        <v>89</v>
      </c>
      <c r="C7" s="5" t="s">
        <v>724</v>
      </c>
      <c r="D7" s="5" t="s">
        <v>730</v>
      </c>
      <c r="E7" s="34">
        <v>90</v>
      </c>
      <c r="F7" s="34">
        <v>1</v>
      </c>
      <c r="G7" s="34">
        <v>1</v>
      </c>
      <c r="H7" s="34">
        <v>2</v>
      </c>
      <c r="I7" s="34">
        <v>1</v>
      </c>
      <c r="J7" s="35">
        <v>40235</v>
      </c>
      <c r="K7" s="35">
        <v>40239</v>
      </c>
      <c r="L7" s="35">
        <v>19251</v>
      </c>
      <c r="M7" s="34">
        <v>57</v>
      </c>
      <c r="N7" s="34">
        <v>2</v>
      </c>
      <c r="O7" s="34">
        <v>0</v>
      </c>
      <c r="P7" s="34">
        <v>0</v>
      </c>
      <c r="Q7" s="34">
        <v>3</v>
      </c>
      <c r="R7" s="34">
        <v>3</v>
      </c>
      <c r="S7" s="34">
        <v>12</v>
      </c>
      <c r="T7" s="34">
        <v>24</v>
      </c>
      <c r="U7" s="34">
        <v>8.3800000000000008</v>
      </c>
      <c r="V7" s="34">
        <v>2</v>
      </c>
      <c r="W7" s="34">
        <v>1</v>
      </c>
      <c r="X7" s="34">
        <v>0.3</v>
      </c>
      <c r="Y7" s="34">
        <v>1</v>
      </c>
      <c r="Z7" s="35">
        <v>41170</v>
      </c>
      <c r="AA7" s="34">
        <v>935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1</v>
      </c>
      <c r="AI7" s="34">
        <v>2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  <c r="AR7" s="34">
        <v>0</v>
      </c>
      <c r="AS7" s="34">
        <v>0</v>
      </c>
      <c r="AT7" s="34" t="s">
        <v>81</v>
      </c>
      <c r="AU7" s="34">
        <v>1</v>
      </c>
      <c r="AV7" s="34" t="s">
        <v>90</v>
      </c>
      <c r="AW7" s="34" t="s">
        <v>256</v>
      </c>
      <c r="AX7" s="34" t="s">
        <v>460</v>
      </c>
      <c r="AY7" s="34">
        <v>0</v>
      </c>
      <c r="AZ7" s="34" t="s">
        <v>81</v>
      </c>
      <c r="BA7" s="34" t="s">
        <v>81</v>
      </c>
      <c r="BB7" s="34" t="s">
        <v>81</v>
      </c>
      <c r="BC7" s="34" t="s">
        <v>81</v>
      </c>
      <c r="BD7" s="34">
        <v>0</v>
      </c>
      <c r="BE7" s="34">
        <v>0</v>
      </c>
      <c r="BF7" s="34">
        <v>0</v>
      </c>
      <c r="BG7" s="34">
        <v>0</v>
      </c>
      <c r="BH7" s="34">
        <v>0</v>
      </c>
      <c r="BI7" s="34">
        <v>0</v>
      </c>
      <c r="BJ7" s="34" t="s">
        <v>81</v>
      </c>
      <c r="BK7" s="34" t="s">
        <v>81</v>
      </c>
      <c r="BL7" s="34" t="s">
        <v>81</v>
      </c>
      <c r="BM7" s="34">
        <v>121</v>
      </c>
      <c r="BN7" s="34">
        <v>77</v>
      </c>
      <c r="BO7" s="34">
        <v>16</v>
      </c>
      <c r="BP7" s="34">
        <v>101</v>
      </c>
      <c r="BQ7" s="34">
        <v>36.5</v>
      </c>
      <c r="BR7" s="34" t="s">
        <v>81</v>
      </c>
      <c r="BS7" s="34">
        <v>0</v>
      </c>
      <c r="BT7" s="34">
        <v>1</v>
      </c>
      <c r="BU7" s="34">
        <v>0</v>
      </c>
      <c r="BV7" s="34">
        <v>1</v>
      </c>
      <c r="BW7" s="34">
        <v>2</v>
      </c>
      <c r="BX7" s="34">
        <v>1</v>
      </c>
      <c r="BY7" s="34">
        <v>4</v>
      </c>
      <c r="BZ7" s="34">
        <v>0</v>
      </c>
      <c r="CA7" s="34">
        <v>0</v>
      </c>
      <c r="CB7" s="34">
        <v>1</v>
      </c>
      <c r="CC7" s="34">
        <v>0</v>
      </c>
      <c r="CD7" s="34">
        <v>0</v>
      </c>
      <c r="CE7" s="34">
        <v>1</v>
      </c>
      <c r="CF7" s="34">
        <v>1</v>
      </c>
      <c r="CG7" s="34">
        <v>1</v>
      </c>
      <c r="CH7" s="34" t="s">
        <v>81</v>
      </c>
      <c r="CI7" s="34" t="s">
        <v>81</v>
      </c>
      <c r="CJ7" s="34">
        <v>2</v>
      </c>
      <c r="CK7" s="34" t="s">
        <v>81</v>
      </c>
      <c r="CL7" s="34">
        <v>1</v>
      </c>
      <c r="CM7" s="34">
        <v>0</v>
      </c>
      <c r="CN7" s="34" t="s">
        <v>81</v>
      </c>
      <c r="CO7" s="34" t="s">
        <v>81</v>
      </c>
      <c r="CP7" s="34" t="s">
        <v>81</v>
      </c>
      <c r="CQ7" s="34" t="s">
        <v>81</v>
      </c>
      <c r="CR7" s="34" t="s">
        <v>81</v>
      </c>
      <c r="CS7" s="34">
        <v>19</v>
      </c>
      <c r="CT7" s="35">
        <v>40235</v>
      </c>
      <c r="CU7" s="34" t="s">
        <v>81</v>
      </c>
      <c r="CV7" s="34">
        <v>94</v>
      </c>
      <c r="CW7" s="34">
        <v>1.2</v>
      </c>
      <c r="CX7" s="34">
        <v>166</v>
      </c>
      <c r="CY7" s="34">
        <v>127</v>
      </c>
      <c r="CZ7" s="34">
        <v>226</v>
      </c>
      <c r="DA7" s="34">
        <v>55</v>
      </c>
      <c r="DB7" s="34">
        <v>687</v>
      </c>
      <c r="DC7" s="34">
        <v>12.7</v>
      </c>
      <c r="DD7" s="34" t="s">
        <v>81</v>
      </c>
      <c r="DE7" s="34">
        <v>1.2</v>
      </c>
      <c r="DF7" s="34">
        <v>12.7</v>
      </c>
      <c r="DG7" s="34" t="s">
        <v>81</v>
      </c>
      <c r="DH7" s="34">
        <v>711</v>
      </c>
      <c r="DI7" s="34" t="s">
        <v>81</v>
      </c>
      <c r="DJ7" s="34" t="s">
        <v>81</v>
      </c>
      <c r="DK7" s="34">
        <v>24</v>
      </c>
      <c r="DL7" s="34">
        <v>124</v>
      </c>
      <c r="DM7" s="34">
        <v>3.7</v>
      </c>
      <c r="DN7" s="34">
        <v>16100</v>
      </c>
      <c r="DO7" s="34">
        <v>87</v>
      </c>
      <c r="DP7" s="34" t="s">
        <v>81</v>
      </c>
      <c r="DQ7" s="34">
        <v>113</v>
      </c>
      <c r="DR7" s="34">
        <v>34</v>
      </c>
      <c r="DS7" s="34">
        <v>1020</v>
      </c>
      <c r="DT7" s="34">
        <v>111</v>
      </c>
      <c r="DU7" s="34">
        <v>12.4</v>
      </c>
      <c r="DV7" s="34">
        <v>44.6</v>
      </c>
      <c r="DW7" s="34">
        <v>1.67</v>
      </c>
      <c r="DX7" s="34" t="s">
        <v>81</v>
      </c>
      <c r="DY7" s="34" t="s">
        <v>81</v>
      </c>
      <c r="DZ7" s="34" t="s">
        <v>81</v>
      </c>
      <c r="EA7" s="34">
        <v>1</v>
      </c>
      <c r="EB7" s="34">
        <v>69.739999999999995</v>
      </c>
      <c r="EC7" s="34">
        <v>2</v>
      </c>
      <c r="ED7" s="34">
        <v>-1</v>
      </c>
      <c r="EE7" s="34">
        <v>4</v>
      </c>
      <c r="EF7" s="34">
        <v>0</v>
      </c>
      <c r="EG7" s="34">
        <v>5</v>
      </c>
      <c r="EH7" s="34">
        <v>2</v>
      </c>
      <c r="EI7" s="34" t="s">
        <v>81</v>
      </c>
      <c r="EJ7" s="34">
        <v>0</v>
      </c>
      <c r="EK7" s="34" t="s">
        <v>81</v>
      </c>
      <c r="EL7" s="34" t="s">
        <v>81</v>
      </c>
      <c r="EM7" s="34">
        <v>1.2</v>
      </c>
      <c r="EN7" s="34" t="s">
        <v>81</v>
      </c>
      <c r="EO7" s="34" t="s">
        <v>81</v>
      </c>
      <c r="EP7" s="34">
        <v>0.78</v>
      </c>
      <c r="EQ7" s="34" t="s">
        <v>81</v>
      </c>
      <c r="ER7" s="34">
        <v>0.68</v>
      </c>
      <c r="ES7" s="34" t="s">
        <v>81</v>
      </c>
      <c r="ET7" s="34">
        <v>0.93</v>
      </c>
      <c r="EU7" s="34" t="s">
        <v>81</v>
      </c>
      <c r="EV7" s="34">
        <v>0.7</v>
      </c>
      <c r="EW7" s="34">
        <v>0.68</v>
      </c>
      <c r="EX7" s="34" t="s">
        <v>81</v>
      </c>
      <c r="EY7" s="34" t="s">
        <v>81</v>
      </c>
      <c r="EZ7" s="34">
        <v>0.5</v>
      </c>
      <c r="FA7" s="34">
        <v>0.47</v>
      </c>
      <c r="FB7" s="34" t="s">
        <v>81</v>
      </c>
      <c r="FC7" s="34" t="s">
        <v>81</v>
      </c>
      <c r="FD7" s="34">
        <v>0.42</v>
      </c>
      <c r="FE7" s="34" t="s">
        <v>81</v>
      </c>
      <c r="FF7" s="34" t="s">
        <v>81</v>
      </c>
      <c r="FG7" s="34" t="s">
        <v>81</v>
      </c>
      <c r="FH7" s="34" t="s">
        <v>81</v>
      </c>
      <c r="FI7" s="34" t="s">
        <v>81</v>
      </c>
      <c r="FJ7" s="34" t="s">
        <v>81</v>
      </c>
      <c r="FK7" s="34" t="s">
        <v>81</v>
      </c>
      <c r="FL7" s="34" t="s">
        <v>81</v>
      </c>
      <c r="FM7" s="34" t="s">
        <v>81</v>
      </c>
      <c r="FN7" s="34" t="s">
        <v>81</v>
      </c>
      <c r="FO7" s="34" t="s">
        <v>81</v>
      </c>
      <c r="FP7" s="34" t="s">
        <v>81</v>
      </c>
      <c r="FQ7" s="34" t="s">
        <v>81</v>
      </c>
      <c r="FR7" s="34" t="s">
        <v>81</v>
      </c>
      <c r="FS7" s="34" t="s">
        <v>81</v>
      </c>
      <c r="FT7" s="34" t="s">
        <v>81</v>
      </c>
      <c r="FU7" s="34" t="s">
        <v>81</v>
      </c>
      <c r="FV7" s="34" t="s">
        <v>81</v>
      </c>
      <c r="FW7" s="34" t="s">
        <v>81</v>
      </c>
      <c r="FX7" s="34" t="s">
        <v>81</v>
      </c>
      <c r="FY7" s="34" t="s">
        <v>81</v>
      </c>
      <c r="FZ7" s="34">
        <v>90</v>
      </c>
      <c r="GA7" s="34">
        <v>55.74</v>
      </c>
    </row>
    <row r="8" spans="1:183" x14ac:dyDescent="0.25">
      <c r="A8" s="34">
        <v>6</v>
      </c>
      <c r="B8" s="4" t="s">
        <v>91</v>
      </c>
      <c r="C8" s="5" t="s">
        <v>724</v>
      </c>
      <c r="D8" s="5" t="s">
        <v>730</v>
      </c>
      <c r="E8" s="34">
        <v>90</v>
      </c>
      <c r="F8" s="34">
        <v>1</v>
      </c>
      <c r="G8" s="34">
        <v>1</v>
      </c>
      <c r="H8" s="34">
        <v>2</v>
      </c>
      <c r="I8" s="34">
        <v>1</v>
      </c>
      <c r="J8" s="35">
        <v>40687</v>
      </c>
      <c r="K8" s="35">
        <v>40688</v>
      </c>
      <c r="L8" s="35">
        <v>23390</v>
      </c>
      <c r="M8" s="34">
        <v>47</v>
      </c>
      <c r="N8" s="34">
        <v>1</v>
      </c>
      <c r="O8" s="34">
        <v>0</v>
      </c>
      <c r="P8" s="34">
        <v>1</v>
      </c>
      <c r="Q8" s="34">
        <v>4</v>
      </c>
      <c r="R8" s="34">
        <v>2</v>
      </c>
      <c r="S8" s="34">
        <v>10</v>
      </c>
      <c r="T8" s="34">
        <v>21</v>
      </c>
      <c r="U8" s="34">
        <v>7.08</v>
      </c>
      <c r="V8" s="34">
        <v>2</v>
      </c>
      <c r="W8" s="34">
        <v>1</v>
      </c>
      <c r="X8" s="34">
        <v>0.17499999999999999</v>
      </c>
      <c r="Y8" s="34">
        <v>1</v>
      </c>
      <c r="Z8" s="35">
        <v>41100</v>
      </c>
      <c r="AA8" s="34">
        <v>413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1</v>
      </c>
      <c r="AI8" s="34">
        <v>2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  <c r="AR8" s="34">
        <v>0</v>
      </c>
      <c r="AS8" s="34">
        <v>0</v>
      </c>
      <c r="AT8" s="34">
        <v>0</v>
      </c>
      <c r="AU8" s="34">
        <v>1</v>
      </c>
      <c r="AV8" s="34" t="s">
        <v>92</v>
      </c>
      <c r="AW8" s="34" t="s">
        <v>480</v>
      </c>
      <c r="AX8" s="34" t="s">
        <v>481</v>
      </c>
      <c r="AY8" s="34">
        <v>1</v>
      </c>
      <c r="AZ8" s="34">
        <v>9</v>
      </c>
      <c r="BA8" s="34" t="s">
        <v>482</v>
      </c>
      <c r="BB8" s="34" t="s">
        <v>483</v>
      </c>
      <c r="BC8" s="34" t="s">
        <v>484</v>
      </c>
      <c r="BD8" s="34">
        <v>0</v>
      </c>
      <c r="BE8" s="34">
        <v>0</v>
      </c>
      <c r="BF8" s="34">
        <v>0</v>
      </c>
      <c r="BG8" s="34">
        <v>0</v>
      </c>
      <c r="BH8" s="34">
        <v>0</v>
      </c>
      <c r="BI8" s="34">
        <v>0</v>
      </c>
      <c r="BJ8" s="34" t="s">
        <v>81</v>
      </c>
      <c r="BK8" s="34" t="s">
        <v>81</v>
      </c>
      <c r="BL8" s="34" t="s">
        <v>81</v>
      </c>
      <c r="BM8" s="34" t="s">
        <v>81</v>
      </c>
      <c r="BN8" s="34" t="s">
        <v>81</v>
      </c>
      <c r="BO8" s="34" t="s">
        <v>81</v>
      </c>
      <c r="BP8" s="34" t="s">
        <v>81</v>
      </c>
      <c r="BQ8" s="34">
        <v>37.299999999999997</v>
      </c>
      <c r="BR8" s="34" t="s">
        <v>81</v>
      </c>
      <c r="BS8" s="34">
        <v>0</v>
      </c>
      <c r="BT8" s="34" t="s">
        <v>81</v>
      </c>
      <c r="BU8" s="34" t="s">
        <v>81</v>
      </c>
      <c r="BV8" s="34">
        <v>0</v>
      </c>
      <c r="BW8" s="34">
        <v>0</v>
      </c>
      <c r="BX8" s="34">
        <v>0</v>
      </c>
      <c r="BY8" s="34">
        <v>3</v>
      </c>
      <c r="BZ8" s="34">
        <v>0</v>
      </c>
      <c r="CA8" s="34">
        <v>0</v>
      </c>
      <c r="CB8" s="34">
        <v>1</v>
      </c>
      <c r="CC8" s="34">
        <v>0</v>
      </c>
      <c r="CD8" s="34">
        <v>0</v>
      </c>
      <c r="CE8" s="34">
        <v>1</v>
      </c>
      <c r="CF8" s="34">
        <v>1</v>
      </c>
      <c r="CG8" s="34">
        <v>1</v>
      </c>
      <c r="CH8" s="34" t="s">
        <v>81</v>
      </c>
      <c r="CI8" s="34" t="s">
        <v>81</v>
      </c>
      <c r="CJ8" s="34">
        <v>2</v>
      </c>
      <c r="CK8" s="34" t="s">
        <v>81</v>
      </c>
      <c r="CL8" s="34">
        <v>1</v>
      </c>
      <c r="CM8" s="34">
        <v>0</v>
      </c>
      <c r="CN8" s="34" t="s">
        <v>81</v>
      </c>
      <c r="CO8" s="34" t="s">
        <v>81</v>
      </c>
      <c r="CP8" s="34" t="s">
        <v>81</v>
      </c>
      <c r="CQ8" s="34" t="s">
        <v>81</v>
      </c>
      <c r="CR8" s="34" t="s">
        <v>81</v>
      </c>
      <c r="CS8" s="34">
        <v>14</v>
      </c>
      <c r="CT8" s="35">
        <v>40687</v>
      </c>
      <c r="CU8" s="34">
        <v>7.02</v>
      </c>
      <c r="CV8" s="34">
        <v>131</v>
      </c>
      <c r="CW8" s="34">
        <v>0.57999999999999996</v>
      </c>
      <c r="CX8" s="34">
        <v>96</v>
      </c>
      <c r="CY8" s="34">
        <v>91</v>
      </c>
      <c r="CZ8" s="34">
        <v>130</v>
      </c>
      <c r="DA8" s="34">
        <v>67</v>
      </c>
      <c r="DB8" s="34">
        <v>456</v>
      </c>
      <c r="DC8" s="34">
        <v>10</v>
      </c>
      <c r="DD8" s="34">
        <v>6</v>
      </c>
      <c r="DE8" s="34">
        <v>1</v>
      </c>
      <c r="DF8" s="34">
        <v>10</v>
      </c>
      <c r="DG8" s="34">
        <v>8.6</v>
      </c>
      <c r="DH8" s="34">
        <v>847</v>
      </c>
      <c r="DI8" s="34" t="s">
        <v>81</v>
      </c>
      <c r="DJ8" s="34">
        <v>59</v>
      </c>
      <c r="DK8" s="34">
        <v>29</v>
      </c>
      <c r="DL8" s="34">
        <v>134</v>
      </c>
      <c r="DM8" s="34">
        <v>2.8</v>
      </c>
      <c r="DN8" s="34">
        <v>8530</v>
      </c>
      <c r="DO8" s="34">
        <v>85.6</v>
      </c>
      <c r="DP8" s="34" t="s">
        <v>81</v>
      </c>
      <c r="DQ8" s="34">
        <v>135</v>
      </c>
      <c r="DR8" s="34">
        <v>43</v>
      </c>
      <c r="DS8" s="34">
        <v>91.3</v>
      </c>
      <c r="DT8" s="34">
        <v>124</v>
      </c>
      <c r="DU8" s="34">
        <v>20.100000000000001</v>
      </c>
      <c r="DV8" s="34">
        <v>46</v>
      </c>
      <c r="DW8" s="34">
        <v>1.76</v>
      </c>
      <c r="DX8" s="34">
        <v>8.5</v>
      </c>
      <c r="DY8" s="34" t="s">
        <v>81</v>
      </c>
      <c r="DZ8" s="34" t="s">
        <v>81</v>
      </c>
      <c r="EA8" s="34">
        <v>1</v>
      </c>
      <c r="EB8" s="34">
        <v>102.46</v>
      </c>
      <c r="EC8" s="34">
        <v>3</v>
      </c>
      <c r="ED8" s="34">
        <v>0</v>
      </c>
      <c r="EE8" s="34">
        <v>1</v>
      </c>
      <c r="EF8" s="34">
        <v>0</v>
      </c>
      <c r="EG8" s="34">
        <v>4</v>
      </c>
      <c r="EH8" s="34">
        <v>2</v>
      </c>
      <c r="EI8" s="34">
        <v>0</v>
      </c>
      <c r="EJ8" s="34">
        <v>0</v>
      </c>
      <c r="EK8" s="34" t="s">
        <v>81</v>
      </c>
      <c r="EL8" s="34" t="s">
        <v>81</v>
      </c>
      <c r="EM8" s="34">
        <v>0.6</v>
      </c>
      <c r="EN8" s="34">
        <v>0.6</v>
      </c>
      <c r="EO8" s="34">
        <v>0.5</v>
      </c>
      <c r="EP8" s="34">
        <v>0.7</v>
      </c>
      <c r="EQ8" s="34">
        <v>0.6</v>
      </c>
      <c r="ER8" s="34" t="s">
        <v>81</v>
      </c>
      <c r="ES8" s="34">
        <v>0.5</v>
      </c>
      <c r="ET8" s="34">
        <v>0.5</v>
      </c>
      <c r="EU8" s="34" t="s">
        <v>81</v>
      </c>
      <c r="EV8" s="34">
        <v>0.5</v>
      </c>
      <c r="EW8" s="34" t="s">
        <v>81</v>
      </c>
      <c r="EX8" s="34" t="s">
        <v>81</v>
      </c>
      <c r="EY8" s="34">
        <v>0.5</v>
      </c>
      <c r="EZ8" s="34" t="s">
        <v>81</v>
      </c>
      <c r="FA8" s="34" t="s">
        <v>81</v>
      </c>
      <c r="FB8" s="34">
        <v>0.5</v>
      </c>
      <c r="FC8" s="34">
        <v>0.4</v>
      </c>
      <c r="FD8" s="34" t="s">
        <v>81</v>
      </c>
      <c r="FE8" s="34" t="s">
        <v>81</v>
      </c>
      <c r="FF8" s="34" t="s">
        <v>81</v>
      </c>
      <c r="FG8" s="34" t="s">
        <v>81</v>
      </c>
      <c r="FH8" s="34" t="s">
        <v>81</v>
      </c>
      <c r="FI8" s="34" t="s">
        <v>81</v>
      </c>
      <c r="FJ8" s="34" t="s">
        <v>81</v>
      </c>
      <c r="FK8" s="34" t="s">
        <v>81</v>
      </c>
      <c r="FL8" s="34" t="s">
        <v>81</v>
      </c>
      <c r="FM8" s="34" t="s">
        <v>81</v>
      </c>
      <c r="FN8" s="34" t="s">
        <v>81</v>
      </c>
      <c r="FO8" s="34" t="s">
        <v>81</v>
      </c>
      <c r="FP8" s="34" t="s">
        <v>81</v>
      </c>
      <c r="FQ8" s="34" t="s">
        <v>81</v>
      </c>
      <c r="FR8" s="34" t="s">
        <v>81</v>
      </c>
      <c r="FS8" s="34" t="s">
        <v>81</v>
      </c>
      <c r="FT8" s="34" t="s">
        <v>81</v>
      </c>
      <c r="FU8" s="34" t="s">
        <v>81</v>
      </c>
      <c r="FV8" s="34" t="s">
        <v>81</v>
      </c>
      <c r="FW8" s="34" t="s">
        <v>81</v>
      </c>
      <c r="FX8" s="34" t="s">
        <v>81</v>
      </c>
      <c r="FY8" s="34" t="s">
        <v>81</v>
      </c>
      <c r="FZ8" s="34">
        <v>90</v>
      </c>
      <c r="GA8" s="34">
        <v>88.46</v>
      </c>
    </row>
    <row r="9" spans="1:183" x14ac:dyDescent="0.25">
      <c r="A9" s="34">
        <v>7</v>
      </c>
      <c r="B9" s="4" t="s">
        <v>93</v>
      </c>
      <c r="C9" s="5" t="s">
        <v>724</v>
      </c>
      <c r="D9" s="5" t="s">
        <v>730</v>
      </c>
      <c r="E9" s="34">
        <v>90</v>
      </c>
      <c r="F9" s="34">
        <v>1</v>
      </c>
      <c r="G9" s="34">
        <v>1</v>
      </c>
      <c r="H9" s="34">
        <v>2</v>
      </c>
      <c r="I9" s="34">
        <v>1</v>
      </c>
      <c r="J9" s="35">
        <v>40262</v>
      </c>
      <c r="K9" s="35">
        <v>40274</v>
      </c>
      <c r="L9" s="35">
        <v>21140</v>
      </c>
      <c r="M9" s="34">
        <v>52</v>
      </c>
      <c r="N9" s="34">
        <v>2</v>
      </c>
      <c r="O9" s="34">
        <v>0</v>
      </c>
      <c r="P9" s="34">
        <v>1</v>
      </c>
      <c r="Q9" s="34">
        <v>4</v>
      </c>
      <c r="R9" s="34">
        <v>3</v>
      </c>
      <c r="S9" s="34">
        <v>10</v>
      </c>
      <c r="T9" s="34">
        <v>24</v>
      </c>
      <c r="U9" s="34">
        <v>8.9</v>
      </c>
      <c r="V9" s="34">
        <v>2</v>
      </c>
      <c r="W9" s="34">
        <v>1</v>
      </c>
      <c r="X9" s="34">
        <v>0.11</v>
      </c>
      <c r="Y9" s="34">
        <v>1</v>
      </c>
      <c r="Z9" s="35">
        <v>40567</v>
      </c>
      <c r="AA9" s="34">
        <v>305</v>
      </c>
      <c r="AB9" s="34">
        <v>1</v>
      </c>
      <c r="AC9" s="34">
        <v>0</v>
      </c>
      <c r="AD9" s="34">
        <v>0</v>
      </c>
      <c r="AE9" s="34">
        <v>1</v>
      </c>
      <c r="AF9" s="34">
        <v>1</v>
      </c>
      <c r="AG9" s="34">
        <v>0</v>
      </c>
      <c r="AH9" s="34">
        <v>1</v>
      </c>
      <c r="AI9" s="34">
        <v>2</v>
      </c>
      <c r="AJ9" s="34">
        <v>0</v>
      </c>
      <c r="AK9" s="34">
        <v>0</v>
      </c>
      <c r="AL9" s="34">
        <v>0</v>
      </c>
      <c r="AM9" s="34">
        <v>2</v>
      </c>
      <c r="AN9" s="34">
        <v>1</v>
      </c>
      <c r="AO9" s="34">
        <v>0</v>
      </c>
      <c r="AP9" s="34">
        <v>0</v>
      </c>
      <c r="AQ9" s="34">
        <v>0</v>
      </c>
      <c r="AR9" s="34">
        <v>0</v>
      </c>
      <c r="AS9" s="34">
        <v>0</v>
      </c>
      <c r="AT9" s="34" t="s">
        <v>81</v>
      </c>
      <c r="AU9" s="34">
        <v>1</v>
      </c>
      <c r="AV9" s="34" t="s">
        <v>90</v>
      </c>
      <c r="AW9" s="34" t="s">
        <v>81</v>
      </c>
      <c r="AX9" s="34" t="s">
        <v>81</v>
      </c>
      <c r="AY9" s="34">
        <v>1</v>
      </c>
      <c r="AZ9" s="34" t="s">
        <v>81</v>
      </c>
      <c r="BA9" s="34" t="s">
        <v>461</v>
      </c>
      <c r="BB9" s="34" t="s">
        <v>256</v>
      </c>
      <c r="BC9" s="34" t="s">
        <v>462</v>
      </c>
      <c r="BD9" s="34">
        <v>0</v>
      </c>
      <c r="BE9" s="34">
        <v>0</v>
      </c>
      <c r="BF9" s="34">
        <v>1</v>
      </c>
      <c r="BG9" s="34">
        <v>1</v>
      </c>
      <c r="BH9" s="34">
        <v>1</v>
      </c>
      <c r="BI9" s="34">
        <v>6</v>
      </c>
      <c r="BJ9" s="34" t="s">
        <v>81</v>
      </c>
      <c r="BK9" s="34" t="s">
        <v>81</v>
      </c>
      <c r="BL9" s="34" t="s">
        <v>94</v>
      </c>
      <c r="BM9" s="34" t="s">
        <v>81</v>
      </c>
      <c r="BN9" s="34" t="s">
        <v>81</v>
      </c>
      <c r="BO9" s="34" t="s">
        <v>81</v>
      </c>
      <c r="BP9" s="34" t="s">
        <v>81</v>
      </c>
      <c r="BQ9" s="34" t="s">
        <v>81</v>
      </c>
      <c r="BR9" s="34" t="s">
        <v>81</v>
      </c>
      <c r="BS9" s="34" t="s">
        <v>81</v>
      </c>
      <c r="BT9" s="34" t="s">
        <v>81</v>
      </c>
      <c r="BU9" s="34" t="s">
        <v>81</v>
      </c>
      <c r="BV9" s="34">
        <v>0</v>
      </c>
      <c r="BW9" s="34">
        <v>0</v>
      </c>
      <c r="BX9" s="34" t="s">
        <v>81</v>
      </c>
      <c r="BY9" s="34" t="s">
        <v>81</v>
      </c>
      <c r="BZ9" s="34">
        <v>1</v>
      </c>
      <c r="CA9" s="34">
        <v>1</v>
      </c>
      <c r="CB9" s="34">
        <v>1</v>
      </c>
      <c r="CC9" s="34">
        <v>0</v>
      </c>
      <c r="CD9" s="34">
        <v>0</v>
      </c>
      <c r="CE9" s="34">
        <v>1</v>
      </c>
      <c r="CF9" s="34">
        <v>1</v>
      </c>
      <c r="CG9" s="34">
        <v>1</v>
      </c>
      <c r="CH9" s="34" t="s">
        <v>81</v>
      </c>
      <c r="CI9" s="34" t="s">
        <v>81</v>
      </c>
      <c r="CJ9" s="34">
        <v>4</v>
      </c>
      <c r="CK9" s="34" t="s">
        <v>81</v>
      </c>
      <c r="CL9" s="34">
        <v>1</v>
      </c>
      <c r="CM9" s="34">
        <v>1</v>
      </c>
      <c r="CN9" s="34" t="s">
        <v>81</v>
      </c>
      <c r="CO9" s="34" t="s">
        <v>81</v>
      </c>
      <c r="CP9" s="34" t="s">
        <v>81</v>
      </c>
      <c r="CQ9" s="34" t="s">
        <v>81</v>
      </c>
      <c r="CR9" s="34" t="s">
        <v>81</v>
      </c>
      <c r="CS9" s="34">
        <v>20</v>
      </c>
      <c r="CT9" s="35">
        <v>40274</v>
      </c>
      <c r="CU9" s="34">
        <v>3.71</v>
      </c>
      <c r="CV9" s="34">
        <v>52</v>
      </c>
      <c r="CW9" s="34">
        <v>0.84</v>
      </c>
      <c r="CX9" s="34">
        <v>49</v>
      </c>
      <c r="CY9" s="34">
        <v>124</v>
      </c>
      <c r="CZ9" s="34">
        <v>175</v>
      </c>
      <c r="DA9" s="34">
        <v>57</v>
      </c>
      <c r="DB9" s="34">
        <v>175</v>
      </c>
      <c r="DC9" s="34">
        <v>26.6</v>
      </c>
      <c r="DD9" s="34" t="s">
        <v>81</v>
      </c>
      <c r="DE9" s="34">
        <v>1</v>
      </c>
      <c r="DF9" s="34">
        <v>26.6</v>
      </c>
      <c r="DG9" s="34">
        <v>19.100000000000001</v>
      </c>
      <c r="DH9" s="34">
        <v>223</v>
      </c>
      <c r="DI9" s="34" t="s">
        <v>81</v>
      </c>
      <c r="DJ9" s="34" t="s">
        <v>81</v>
      </c>
      <c r="DK9" s="34">
        <v>32</v>
      </c>
      <c r="DL9" s="34">
        <v>134</v>
      </c>
      <c r="DM9" s="34">
        <v>3.4</v>
      </c>
      <c r="DN9" s="34">
        <v>8280</v>
      </c>
      <c r="DO9" s="34">
        <v>80</v>
      </c>
      <c r="DP9" s="34" t="s">
        <v>81</v>
      </c>
      <c r="DQ9" s="34">
        <v>83</v>
      </c>
      <c r="DR9" s="34">
        <v>26</v>
      </c>
      <c r="DS9" s="34">
        <v>1141</v>
      </c>
      <c r="DT9" s="34">
        <v>52</v>
      </c>
      <c r="DU9" s="34">
        <v>13.4</v>
      </c>
      <c r="DV9" s="34">
        <v>53</v>
      </c>
      <c r="DW9" s="34">
        <v>1.59</v>
      </c>
      <c r="DX9" s="34">
        <v>16.2</v>
      </c>
      <c r="DY9" s="34" t="s">
        <v>81</v>
      </c>
      <c r="DZ9" s="34" t="s">
        <v>81</v>
      </c>
      <c r="EA9" s="34">
        <v>1</v>
      </c>
      <c r="EB9" s="34">
        <v>88.24</v>
      </c>
      <c r="EC9" s="34">
        <v>3</v>
      </c>
      <c r="ED9" s="34">
        <v>0</v>
      </c>
      <c r="EE9" s="34">
        <v>2</v>
      </c>
      <c r="EF9" s="34">
        <v>0</v>
      </c>
      <c r="EG9" s="34">
        <v>5</v>
      </c>
      <c r="EH9" s="34">
        <v>2</v>
      </c>
      <c r="EI9" s="34" t="s">
        <v>81</v>
      </c>
      <c r="EJ9" s="34">
        <v>1</v>
      </c>
      <c r="EK9" s="34" t="s">
        <v>81</v>
      </c>
      <c r="EL9" s="34" t="s">
        <v>81</v>
      </c>
      <c r="EM9" s="34">
        <v>2.2599999999999998</v>
      </c>
      <c r="EN9" s="34">
        <v>1.53</v>
      </c>
      <c r="EO9" s="34">
        <v>1</v>
      </c>
      <c r="EP9" s="34">
        <v>0.8</v>
      </c>
      <c r="EQ9" s="34">
        <v>0.86</v>
      </c>
      <c r="ER9" s="34">
        <v>0.84</v>
      </c>
      <c r="ES9" s="34" t="s">
        <v>81</v>
      </c>
      <c r="ET9" s="34">
        <v>0.7</v>
      </c>
      <c r="EU9" s="34" t="s">
        <v>81</v>
      </c>
      <c r="EV9" s="34">
        <v>1.3</v>
      </c>
      <c r="EW9" s="34">
        <v>1</v>
      </c>
      <c r="EX9" s="34" t="s">
        <v>81</v>
      </c>
      <c r="EY9" s="34">
        <v>0.84</v>
      </c>
      <c r="EZ9" s="34">
        <v>1.01</v>
      </c>
      <c r="FA9" s="34">
        <v>0.76</v>
      </c>
      <c r="FB9" s="34" t="s">
        <v>81</v>
      </c>
      <c r="FC9" s="34" t="s">
        <v>81</v>
      </c>
      <c r="FD9" s="34" t="s">
        <v>81</v>
      </c>
      <c r="FE9" s="34">
        <v>0.88</v>
      </c>
      <c r="FF9" s="34" t="s">
        <v>81</v>
      </c>
      <c r="FG9" s="34" t="s">
        <v>81</v>
      </c>
      <c r="FH9" s="34" t="s">
        <v>81</v>
      </c>
      <c r="FI9" s="34" t="s">
        <v>81</v>
      </c>
      <c r="FJ9" s="34" t="s">
        <v>81</v>
      </c>
      <c r="FK9" s="34" t="s">
        <v>81</v>
      </c>
      <c r="FL9" s="34" t="s">
        <v>81</v>
      </c>
      <c r="FM9" s="34" t="s">
        <v>81</v>
      </c>
      <c r="FN9" s="34" t="s">
        <v>81</v>
      </c>
      <c r="FO9" s="34" t="s">
        <v>81</v>
      </c>
      <c r="FP9" s="34" t="s">
        <v>81</v>
      </c>
      <c r="FQ9" s="34" t="s">
        <v>81</v>
      </c>
      <c r="FR9" s="34" t="s">
        <v>81</v>
      </c>
      <c r="FS9" s="34" t="s">
        <v>81</v>
      </c>
      <c r="FT9" s="34" t="s">
        <v>81</v>
      </c>
      <c r="FU9" s="34" t="s">
        <v>81</v>
      </c>
      <c r="FV9" s="34" t="s">
        <v>81</v>
      </c>
      <c r="FW9" s="34" t="s">
        <v>81</v>
      </c>
      <c r="FX9" s="34" t="s">
        <v>81</v>
      </c>
      <c r="FY9" s="34" t="s">
        <v>81</v>
      </c>
      <c r="FZ9" s="34">
        <v>90</v>
      </c>
      <c r="GA9" s="34">
        <v>74.239999999999995</v>
      </c>
    </row>
    <row r="10" spans="1:183" x14ac:dyDescent="0.25">
      <c r="A10" s="34">
        <v>8</v>
      </c>
      <c r="B10" s="4" t="s">
        <v>95</v>
      </c>
      <c r="C10" s="5" t="s">
        <v>724</v>
      </c>
      <c r="D10" s="5" t="s">
        <v>731</v>
      </c>
      <c r="E10" s="34">
        <v>66</v>
      </c>
      <c r="F10" s="34">
        <v>1</v>
      </c>
      <c r="G10" s="34">
        <v>1</v>
      </c>
      <c r="H10" s="34">
        <v>2</v>
      </c>
      <c r="I10" s="34">
        <v>1</v>
      </c>
      <c r="J10" s="35">
        <v>40942</v>
      </c>
      <c r="K10" s="35">
        <v>40945</v>
      </c>
      <c r="L10" s="35">
        <v>29752</v>
      </c>
      <c r="M10" s="34">
        <v>30</v>
      </c>
      <c r="N10" s="34">
        <v>2</v>
      </c>
      <c r="O10" s="34">
        <v>0</v>
      </c>
      <c r="P10" s="34">
        <v>0</v>
      </c>
      <c r="Q10" s="34">
        <v>3</v>
      </c>
      <c r="R10" s="34">
        <v>3</v>
      </c>
      <c r="S10" s="34">
        <v>11</v>
      </c>
      <c r="T10" s="34">
        <v>24</v>
      </c>
      <c r="U10" s="34">
        <v>6.92</v>
      </c>
      <c r="V10" s="34">
        <v>2</v>
      </c>
      <c r="W10" s="34">
        <v>1</v>
      </c>
      <c r="X10" s="34">
        <v>0.22</v>
      </c>
      <c r="Y10" s="34">
        <v>1</v>
      </c>
      <c r="Z10" s="35">
        <v>41008</v>
      </c>
      <c r="AA10" s="34">
        <v>66</v>
      </c>
      <c r="AB10" s="34">
        <v>1</v>
      </c>
      <c r="AC10" s="34">
        <v>1</v>
      </c>
      <c r="AD10" s="34">
        <v>1</v>
      </c>
      <c r="AE10" s="34">
        <v>1</v>
      </c>
      <c r="AF10" s="34">
        <v>1</v>
      </c>
      <c r="AG10" s="34">
        <v>0</v>
      </c>
      <c r="AH10" s="34">
        <v>1</v>
      </c>
      <c r="AI10" s="34">
        <v>2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  <c r="AR10" s="34">
        <v>0</v>
      </c>
      <c r="AS10" s="34">
        <v>0</v>
      </c>
      <c r="AT10" s="34">
        <v>0</v>
      </c>
      <c r="AU10" s="34">
        <v>1</v>
      </c>
      <c r="AV10" s="34" t="s">
        <v>90</v>
      </c>
      <c r="AW10" s="34" t="s">
        <v>493</v>
      </c>
      <c r="AX10" s="34" t="s">
        <v>460</v>
      </c>
      <c r="AY10" s="34">
        <v>1</v>
      </c>
      <c r="AZ10" s="34">
        <v>20</v>
      </c>
      <c r="BA10" s="34" t="s">
        <v>90</v>
      </c>
      <c r="BB10" s="34" t="s">
        <v>494</v>
      </c>
      <c r="BC10" s="34" t="s">
        <v>491</v>
      </c>
      <c r="BD10" s="34">
        <v>0</v>
      </c>
      <c r="BE10" s="34">
        <v>0</v>
      </c>
      <c r="BF10" s="34">
        <v>0</v>
      </c>
      <c r="BG10" s="34">
        <v>0</v>
      </c>
      <c r="BH10" s="34">
        <v>0</v>
      </c>
      <c r="BI10" s="34">
        <v>0</v>
      </c>
      <c r="BJ10" s="34" t="s">
        <v>81</v>
      </c>
      <c r="BK10" s="34" t="s">
        <v>81</v>
      </c>
      <c r="BL10" s="34" t="s">
        <v>96</v>
      </c>
      <c r="BM10" s="34" t="s">
        <v>81</v>
      </c>
      <c r="BN10" s="34" t="s">
        <v>81</v>
      </c>
      <c r="BO10" s="34" t="s">
        <v>81</v>
      </c>
      <c r="BP10" s="34" t="s">
        <v>81</v>
      </c>
      <c r="BQ10" s="34">
        <v>37.299999999999997</v>
      </c>
      <c r="BR10" s="34" t="s">
        <v>81</v>
      </c>
      <c r="BS10" s="34" t="s">
        <v>81</v>
      </c>
      <c r="BT10" s="34" t="s">
        <v>81</v>
      </c>
      <c r="BU10" s="34" t="s">
        <v>81</v>
      </c>
      <c r="BV10" s="34">
        <v>0</v>
      </c>
      <c r="BW10" s="34">
        <v>0</v>
      </c>
      <c r="BX10" s="34">
        <v>0</v>
      </c>
      <c r="BY10" s="34">
        <v>3</v>
      </c>
      <c r="BZ10" s="34">
        <v>1</v>
      </c>
      <c r="CA10" s="34">
        <v>0</v>
      </c>
      <c r="CB10" s="34">
        <v>1</v>
      </c>
      <c r="CC10" s="34">
        <v>0</v>
      </c>
      <c r="CD10" s="34">
        <v>0</v>
      </c>
      <c r="CE10" s="34">
        <v>1</v>
      </c>
      <c r="CF10" s="34">
        <v>1</v>
      </c>
      <c r="CG10" s="34">
        <v>1</v>
      </c>
      <c r="CH10" s="34" t="s">
        <v>81</v>
      </c>
      <c r="CI10" s="34" t="s">
        <v>81</v>
      </c>
      <c r="CJ10" s="34">
        <v>3</v>
      </c>
      <c r="CK10" s="34" t="s">
        <v>81</v>
      </c>
      <c r="CL10" s="34">
        <v>1</v>
      </c>
      <c r="CM10" s="34">
        <v>1</v>
      </c>
      <c r="CN10" s="34" t="s">
        <v>81</v>
      </c>
      <c r="CO10" s="34" t="s">
        <v>81</v>
      </c>
      <c r="CP10" s="34" t="s">
        <v>81</v>
      </c>
      <c r="CQ10" s="34" t="s">
        <v>81</v>
      </c>
      <c r="CR10" s="34" t="s">
        <v>81</v>
      </c>
      <c r="CS10" s="34">
        <v>195</v>
      </c>
      <c r="CT10" s="35">
        <v>40942</v>
      </c>
      <c r="CU10" s="34">
        <v>1.1399999999999999</v>
      </c>
      <c r="CV10" s="34">
        <v>106</v>
      </c>
      <c r="CW10" s="34">
        <v>0.4</v>
      </c>
      <c r="CX10" s="34">
        <v>122</v>
      </c>
      <c r="CY10" s="34">
        <v>214</v>
      </c>
      <c r="CZ10" s="34">
        <v>146</v>
      </c>
      <c r="DA10" s="34">
        <v>44</v>
      </c>
      <c r="DB10" s="34">
        <v>284</v>
      </c>
      <c r="DC10" s="34">
        <v>21</v>
      </c>
      <c r="DD10" s="34" t="s">
        <v>81</v>
      </c>
      <c r="DE10" s="34">
        <v>1</v>
      </c>
      <c r="DF10" s="34">
        <v>21</v>
      </c>
      <c r="DG10" s="34">
        <v>15.9</v>
      </c>
      <c r="DH10" s="34">
        <v>423</v>
      </c>
      <c r="DI10" s="34" t="s">
        <v>81</v>
      </c>
      <c r="DJ10" s="34">
        <v>52</v>
      </c>
      <c r="DK10" s="34">
        <v>23</v>
      </c>
      <c r="DL10" s="34">
        <v>140</v>
      </c>
      <c r="DM10" s="34">
        <v>3.2</v>
      </c>
      <c r="DN10" s="34">
        <v>11900</v>
      </c>
      <c r="DO10" s="34">
        <v>88.1</v>
      </c>
      <c r="DP10" s="34" t="s">
        <v>81</v>
      </c>
      <c r="DQ10" s="34">
        <v>111</v>
      </c>
      <c r="DR10" s="34">
        <v>34</v>
      </c>
      <c r="DS10" s="34">
        <v>108</v>
      </c>
      <c r="DT10" s="34">
        <v>194</v>
      </c>
      <c r="DU10" s="34">
        <v>21.1</v>
      </c>
      <c r="DV10" s="34">
        <v>35</v>
      </c>
      <c r="DW10" s="34">
        <v>1.74</v>
      </c>
      <c r="DX10" s="34" t="s">
        <v>81</v>
      </c>
      <c r="DY10" s="34" t="s">
        <v>81</v>
      </c>
      <c r="DZ10" s="34" t="s">
        <v>81</v>
      </c>
      <c r="EA10" s="34">
        <v>1</v>
      </c>
      <c r="EB10" s="34" t="s">
        <v>81</v>
      </c>
      <c r="EC10" s="34" t="s">
        <v>81</v>
      </c>
      <c r="ED10" s="34" t="s">
        <v>81</v>
      </c>
      <c r="EE10" s="34" t="s">
        <v>81</v>
      </c>
      <c r="EF10" s="34" t="s">
        <v>81</v>
      </c>
      <c r="EG10" s="34" t="s">
        <v>81</v>
      </c>
      <c r="EH10" s="34" t="s">
        <v>81</v>
      </c>
      <c r="EI10" s="34">
        <v>0</v>
      </c>
      <c r="EJ10" s="34">
        <v>1</v>
      </c>
      <c r="EK10" s="34" t="s">
        <v>81</v>
      </c>
      <c r="EL10" s="34">
        <v>3</v>
      </c>
      <c r="EM10" s="34">
        <v>0.4</v>
      </c>
      <c r="EN10" s="34" t="s">
        <v>81</v>
      </c>
      <c r="EO10" s="34" t="s">
        <v>81</v>
      </c>
      <c r="EP10" s="34">
        <v>0.79</v>
      </c>
      <c r="EQ10" s="34">
        <v>0.76</v>
      </c>
      <c r="ER10" s="34" t="s">
        <v>81</v>
      </c>
      <c r="ES10" s="34">
        <v>0.61</v>
      </c>
      <c r="ET10" s="34">
        <v>0.52</v>
      </c>
      <c r="EU10" s="34" t="s">
        <v>81</v>
      </c>
      <c r="EV10" s="34" t="s">
        <v>81</v>
      </c>
      <c r="EW10" s="34">
        <v>0.57999999999999996</v>
      </c>
      <c r="EX10" s="34">
        <v>0.4</v>
      </c>
      <c r="EY10" s="34" t="s">
        <v>81</v>
      </c>
      <c r="EZ10" s="34">
        <v>0.62</v>
      </c>
      <c r="FA10" s="34">
        <v>0.61</v>
      </c>
      <c r="FB10" s="34" t="s">
        <v>81</v>
      </c>
      <c r="FC10" s="34">
        <v>0.5</v>
      </c>
      <c r="FD10" s="34">
        <v>0.57999999999999996</v>
      </c>
      <c r="FE10" s="34" t="s">
        <v>81</v>
      </c>
      <c r="FF10" s="34" t="s">
        <v>81</v>
      </c>
      <c r="FG10" s="34" t="s">
        <v>81</v>
      </c>
      <c r="FH10" s="34" t="s">
        <v>81</v>
      </c>
      <c r="FI10" s="34" t="s">
        <v>81</v>
      </c>
      <c r="FJ10" s="34" t="s">
        <v>81</v>
      </c>
      <c r="FK10" s="34" t="s">
        <v>81</v>
      </c>
      <c r="FL10" s="34" t="s">
        <v>81</v>
      </c>
      <c r="FM10" s="34" t="s">
        <v>81</v>
      </c>
      <c r="FN10" s="34" t="s">
        <v>81</v>
      </c>
      <c r="FO10" s="34" t="s">
        <v>81</v>
      </c>
      <c r="FP10" s="34" t="s">
        <v>81</v>
      </c>
      <c r="FQ10" s="34" t="s">
        <v>81</v>
      </c>
      <c r="FR10" s="34" t="s">
        <v>81</v>
      </c>
      <c r="FS10" s="34" t="s">
        <v>81</v>
      </c>
      <c r="FT10" s="34" t="s">
        <v>81</v>
      </c>
      <c r="FU10" s="34" t="s">
        <v>81</v>
      </c>
      <c r="FV10" s="34" t="s">
        <v>81</v>
      </c>
      <c r="FW10" s="34" t="s">
        <v>81</v>
      </c>
      <c r="FX10" s="34" t="s">
        <v>81</v>
      </c>
      <c r="FY10" s="34" t="s">
        <v>81</v>
      </c>
      <c r="FZ10" s="34">
        <v>66</v>
      </c>
      <c r="GA10" s="34">
        <v>104.06</v>
      </c>
    </row>
    <row r="11" spans="1:183" x14ac:dyDescent="0.25">
      <c r="A11" s="34">
        <v>9</v>
      </c>
      <c r="B11" s="4" t="s">
        <v>97</v>
      </c>
      <c r="C11" s="5" t="s">
        <v>724</v>
      </c>
      <c r="D11" s="5" t="s">
        <v>730</v>
      </c>
      <c r="E11" s="34">
        <v>90</v>
      </c>
      <c r="F11" s="34">
        <v>1</v>
      </c>
      <c r="G11" s="34">
        <v>1</v>
      </c>
      <c r="H11" s="34">
        <v>2</v>
      </c>
      <c r="I11" s="34">
        <v>1</v>
      </c>
      <c r="J11" s="35">
        <v>41030</v>
      </c>
      <c r="K11" s="35">
        <v>41036</v>
      </c>
      <c r="L11" s="35">
        <v>20617</v>
      </c>
      <c r="M11" s="34">
        <v>55</v>
      </c>
      <c r="N11" s="34">
        <v>1</v>
      </c>
      <c r="O11" s="34">
        <v>0</v>
      </c>
      <c r="P11" s="34">
        <v>1</v>
      </c>
      <c r="Q11" s="34">
        <v>4</v>
      </c>
      <c r="R11" s="34">
        <v>3</v>
      </c>
      <c r="S11" s="34">
        <v>11</v>
      </c>
      <c r="T11" s="34">
        <v>18</v>
      </c>
      <c r="U11" s="34">
        <v>7.5</v>
      </c>
      <c r="V11" s="34">
        <v>2</v>
      </c>
      <c r="W11" s="34">
        <v>1</v>
      </c>
      <c r="X11" s="34">
        <v>0.27</v>
      </c>
      <c r="Y11" s="34">
        <v>1</v>
      </c>
      <c r="Z11" s="35">
        <v>41156</v>
      </c>
      <c r="AA11" s="34">
        <v>126</v>
      </c>
      <c r="AB11" s="34">
        <v>0</v>
      </c>
      <c r="AC11" s="34">
        <v>0</v>
      </c>
      <c r="AD11" s="34" t="s">
        <v>81</v>
      </c>
      <c r="AE11" s="34" t="s">
        <v>81</v>
      </c>
      <c r="AF11" s="34">
        <v>0</v>
      </c>
      <c r="AG11" s="34">
        <v>0</v>
      </c>
      <c r="AH11" s="34">
        <v>1</v>
      </c>
      <c r="AI11" s="34">
        <v>3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  <c r="AR11" s="34">
        <v>0</v>
      </c>
      <c r="AS11" s="34">
        <v>0</v>
      </c>
      <c r="AT11" s="34">
        <v>0</v>
      </c>
      <c r="AU11" s="34">
        <v>0</v>
      </c>
      <c r="AV11" s="34" t="s">
        <v>81</v>
      </c>
      <c r="AW11" s="34" t="s">
        <v>81</v>
      </c>
      <c r="AX11" s="34" t="s">
        <v>81</v>
      </c>
      <c r="AY11" s="34">
        <v>0</v>
      </c>
      <c r="AZ11" s="34" t="s">
        <v>81</v>
      </c>
      <c r="BA11" s="34" t="s">
        <v>81</v>
      </c>
      <c r="BB11" s="34" t="s">
        <v>81</v>
      </c>
      <c r="BC11" s="34" t="s">
        <v>81</v>
      </c>
      <c r="BD11" s="34">
        <v>0</v>
      </c>
      <c r="BE11" s="34">
        <v>0</v>
      </c>
      <c r="BF11" s="34">
        <v>0</v>
      </c>
      <c r="BG11" s="34">
        <v>0</v>
      </c>
      <c r="BH11" s="34">
        <v>0</v>
      </c>
      <c r="BI11" s="34">
        <v>0</v>
      </c>
      <c r="BJ11" s="34" t="s">
        <v>81</v>
      </c>
      <c r="BK11" s="34" t="s">
        <v>81</v>
      </c>
      <c r="BL11" s="34" t="s">
        <v>81</v>
      </c>
      <c r="BM11" s="34">
        <v>128</v>
      </c>
      <c r="BN11" s="34">
        <v>84</v>
      </c>
      <c r="BO11" s="34" t="s">
        <v>81</v>
      </c>
      <c r="BP11" s="34">
        <v>63</v>
      </c>
      <c r="BQ11" s="34" t="s">
        <v>81</v>
      </c>
      <c r="BR11" s="34" t="s">
        <v>81</v>
      </c>
      <c r="BS11" s="34" t="s">
        <v>81</v>
      </c>
      <c r="BT11" s="34">
        <v>0</v>
      </c>
      <c r="BU11" s="34" t="s">
        <v>81</v>
      </c>
      <c r="BV11" s="34">
        <v>1</v>
      </c>
      <c r="BW11" s="34">
        <v>1</v>
      </c>
      <c r="BX11" s="34">
        <v>0</v>
      </c>
      <c r="BY11" s="34">
        <v>1</v>
      </c>
      <c r="BZ11" s="34">
        <v>0</v>
      </c>
      <c r="CA11" s="34">
        <v>0</v>
      </c>
      <c r="CB11" s="34">
        <v>1</v>
      </c>
      <c r="CC11" s="34">
        <v>0</v>
      </c>
      <c r="CD11" s="34">
        <v>0</v>
      </c>
      <c r="CE11" s="34">
        <v>1</v>
      </c>
      <c r="CF11" s="34">
        <v>1</v>
      </c>
      <c r="CG11" s="34">
        <v>0</v>
      </c>
      <c r="CH11" s="34" t="s">
        <v>81</v>
      </c>
      <c r="CI11" s="34" t="s">
        <v>81</v>
      </c>
      <c r="CJ11" s="34">
        <v>2</v>
      </c>
      <c r="CK11" s="34" t="s">
        <v>81</v>
      </c>
      <c r="CL11" s="34">
        <v>1</v>
      </c>
      <c r="CM11" s="34">
        <v>0</v>
      </c>
      <c r="CN11" s="34" t="s">
        <v>81</v>
      </c>
      <c r="CO11" s="34" t="s">
        <v>81</v>
      </c>
      <c r="CP11" s="34" t="s">
        <v>81</v>
      </c>
      <c r="CQ11" s="34" t="s">
        <v>81</v>
      </c>
      <c r="CR11" s="34" t="s">
        <v>81</v>
      </c>
      <c r="CS11" s="34">
        <v>22</v>
      </c>
      <c r="CT11" s="35">
        <v>41030</v>
      </c>
      <c r="CU11" s="34">
        <v>2.57</v>
      </c>
      <c r="CV11" s="34">
        <v>104</v>
      </c>
      <c r="CW11" s="34">
        <v>0.98</v>
      </c>
      <c r="CX11" s="34">
        <v>90</v>
      </c>
      <c r="CY11" s="34">
        <v>65</v>
      </c>
      <c r="CZ11" s="34">
        <v>66</v>
      </c>
      <c r="DA11" s="34">
        <v>13</v>
      </c>
      <c r="DB11" s="34">
        <v>177</v>
      </c>
      <c r="DC11" s="34">
        <v>5.7</v>
      </c>
      <c r="DD11" s="34" t="s">
        <v>81</v>
      </c>
      <c r="DE11" s="34">
        <v>1</v>
      </c>
      <c r="DF11" s="34">
        <v>5.7</v>
      </c>
      <c r="DG11" s="34" t="s">
        <v>81</v>
      </c>
      <c r="DH11" s="34">
        <v>271</v>
      </c>
      <c r="DI11" s="34" t="s">
        <v>81</v>
      </c>
      <c r="DJ11" s="34">
        <v>56</v>
      </c>
      <c r="DK11" s="34">
        <v>25</v>
      </c>
      <c r="DL11" s="34">
        <v>132</v>
      </c>
      <c r="DM11" s="34">
        <v>4.5999999999999996</v>
      </c>
      <c r="DN11" s="34">
        <v>3700</v>
      </c>
      <c r="DO11" s="34">
        <v>65.400000000000006</v>
      </c>
      <c r="DP11" s="34" t="s">
        <v>81</v>
      </c>
      <c r="DQ11" s="34">
        <v>134</v>
      </c>
      <c r="DR11" s="34">
        <v>40</v>
      </c>
      <c r="DS11" s="34">
        <v>107</v>
      </c>
      <c r="DT11" s="34">
        <v>51</v>
      </c>
      <c r="DU11" s="34">
        <v>17.7</v>
      </c>
      <c r="DV11" s="34">
        <v>44.5</v>
      </c>
      <c r="DW11" s="34">
        <v>1.56</v>
      </c>
      <c r="DX11" s="34">
        <v>9.3000000000000007</v>
      </c>
      <c r="DY11" s="34" t="s">
        <v>81</v>
      </c>
      <c r="DZ11" s="34" t="s">
        <v>81</v>
      </c>
      <c r="EA11" s="34">
        <v>0</v>
      </c>
      <c r="EB11" s="34" t="s">
        <v>81</v>
      </c>
      <c r="EC11" s="34" t="s">
        <v>81</v>
      </c>
      <c r="ED11" s="34" t="s">
        <v>81</v>
      </c>
      <c r="EE11" s="34" t="s">
        <v>81</v>
      </c>
      <c r="EF11" s="34" t="s">
        <v>81</v>
      </c>
      <c r="EG11" s="34" t="s">
        <v>81</v>
      </c>
      <c r="EH11" s="34" t="s">
        <v>81</v>
      </c>
      <c r="EI11" s="34">
        <v>0</v>
      </c>
      <c r="EJ11" s="34">
        <v>0</v>
      </c>
      <c r="EK11" s="34" t="s">
        <v>81</v>
      </c>
      <c r="EL11" s="34" t="s">
        <v>81</v>
      </c>
      <c r="EM11" s="34">
        <v>0.98</v>
      </c>
      <c r="EN11" s="34">
        <v>0.66</v>
      </c>
      <c r="EO11" s="34">
        <v>0.79</v>
      </c>
      <c r="EP11" s="34" t="s">
        <v>81</v>
      </c>
      <c r="EQ11" s="34" t="s">
        <v>81</v>
      </c>
      <c r="ER11" s="34" t="s">
        <v>81</v>
      </c>
      <c r="ES11" s="34">
        <v>0.89</v>
      </c>
      <c r="ET11" s="34">
        <v>0.7</v>
      </c>
      <c r="EU11" s="34" t="s">
        <v>81</v>
      </c>
      <c r="EV11" s="34">
        <v>0.93</v>
      </c>
      <c r="EW11" s="34" t="s">
        <v>81</v>
      </c>
      <c r="EX11" s="34" t="s">
        <v>81</v>
      </c>
      <c r="EY11" s="34" t="s">
        <v>81</v>
      </c>
      <c r="EZ11" s="34">
        <v>0.9</v>
      </c>
      <c r="FA11" s="34" t="s">
        <v>81</v>
      </c>
      <c r="FB11" s="34" t="s">
        <v>81</v>
      </c>
      <c r="FC11" s="34" t="s">
        <v>81</v>
      </c>
      <c r="FD11" s="34" t="s">
        <v>81</v>
      </c>
      <c r="FE11" s="34" t="s">
        <v>81</v>
      </c>
      <c r="FF11" s="34" t="s">
        <v>81</v>
      </c>
      <c r="FG11" s="34" t="s">
        <v>81</v>
      </c>
      <c r="FH11" s="34" t="s">
        <v>81</v>
      </c>
      <c r="FI11" s="34" t="s">
        <v>81</v>
      </c>
      <c r="FJ11" s="34" t="s">
        <v>81</v>
      </c>
      <c r="FK11" s="34" t="s">
        <v>81</v>
      </c>
      <c r="FL11" s="34" t="s">
        <v>81</v>
      </c>
      <c r="FM11" s="34" t="s">
        <v>81</v>
      </c>
      <c r="FN11" s="34" t="s">
        <v>81</v>
      </c>
      <c r="FO11" s="34" t="s">
        <v>81</v>
      </c>
      <c r="FP11" s="34" t="s">
        <v>81</v>
      </c>
      <c r="FQ11" s="34" t="s">
        <v>81</v>
      </c>
      <c r="FR11" s="34" t="s">
        <v>81</v>
      </c>
      <c r="FS11" s="34" t="s">
        <v>81</v>
      </c>
      <c r="FT11" s="34" t="s">
        <v>81</v>
      </c>
      <c r="FU11" s="34" t="s">
        <v>81</v>
      </c>
      <c r="FV11" s="34" t="s">
        <v>81</v>
      </c>
      <c r="FW11" s="34" t="s">
        <v>81</v>
      </c>
      <c r="FX11" s="34" t="s">
        <v>81</v>
      </c>
      <c r="FY11" s="34" t="s">
        <v>81</v>
      </c>
      <c r="FZ11" s="34">
        <v>90</v>
      </c>
      <c r="GA11" s="34">
        <v>73.12</v>
      </c>
    </row>
    <row r="12" spans="1:183" x14ac:dyDescent="0.25">
      <c r="A12" s="34">
        <v>10</v>
      </c>
      <c r="B12" s="4" t="s">
        <v>99</v>
      </c>
      <c r="C12" s="5" t="s">
        <v>725</v>
      </c>
      <c r="D12" s="5" t="s">
        <v>731</v>
      </c>
      <c r="E12" s="34">
        <v>39</v>
      </c>
      <c r="F12" s="34">
        <v>1</v>
      </c>
      <c r="G12" s="34">
        <v>1</v>
      </c>
      <c r="H12" s="34">
        <v>3</v>
      </c>
      <c r="I12" s="34">
        <v>1</v>
      </c>
      <c r="J12" s="35">
        <v>40389</v>
      </c>
      <c r="K12" s="35">
        <v>40392</v>
      </c>
      <c r="L12" s="35">
        <v>22134</v>
      </c>
      <c r="M12" s="34">
        <v>50</v>
      </c>
      <c r="N12" s="34">
        <v>1</v>
      </c>
      <c r="O12" s="34">
        <v>0</v>
      </c>
      <c r="P12" s="34">
        <v>1</v>
      </c>
      <c r="Q12" s="34">
        <v>4</v>
      </c>
      <c r="R12" s="34">
        <v>2</v>
      </c>
      <c r="S12" s="34">
        <v>9</v>
      </c>
      <c r="T12" s="34">
        <v>22</v>
      </c>
      <c r="U12" s="34">
        <v>8.1</v>
      </c>
      <c r="V12" s="34">
        <v>2</v>
      </c>
      <c r="W12" s="34">
        <v>1</v>
      </c>
      <c r="X12" s="34">
        <v>0.48899999999999999</v>
      </c>
      <c r="Y12" s="34">
        <v>0</v>
      </c>
      <c r="Z12" s="35">
        <v>40428</v>
      </c>
      <c r="AA12" s="34">
        <v>39</v>
      </c>
      <c r="AB12" s="34">
        <v>1</v>
      </c>
      <c r="AC12" s="34">
        <v>1</v>
      </c>
      <c r="AD12" s="34">
        <v>1</v>
      </c>
      <c r="AE12" s="34">
        <v>1</v>
      </c>
      <c r="AF12" s="34">
        <v>1</v>
      </c>
      <c r="AG12" s="34">
        <v>0</v>
      </c>
      <c r="AH12" s="34">
        <v>1</v>
      </c>
      <c r="AI12" s="34">
        <v>2</v>
      </c>
      <c r="AJ12" s="34">
        <v>1</v>
      </c>
      <c r="AK12" s="34">
        <v>3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  <c r="AR12" s="34">
        <v>0</v>
      </c>
      <c r="AS12" s="34">
        <v>0</v>
      </c>
      <c r="AT12" s="34">
        <v>0</v>
      </c>
      <c r="AU12" s="34">
        <v>0</v>
      </c>
      <c r="AV12" s="34" t="s">
        <v>81</v>
      </c>
      <c r="AW12" s="34" t="s">
        <v>81</v>
      </c>
      <c r="AX12" s="34" t="s">
        <v>81</v>
      </c>
      <c r="AY12" s="34">
        <v>1</v>
      </c>
      <c r="AZ12" s="34">
        <v>25</v>
      </c>
      <c r="BA12" s="34" t="s">
        <v>461</v>
      </c>
      <c r="BB12" s="34" t="s">
        <v>256</v>
      </c>
      <c r="BC12" s="34" t="s">
        <v>465</v>
      </c>
      <c r="BD12" s="34">
        <v>0</v>
      </c>
      <c r="BE12" s="34">
        <v>0</v>
      </c>
      <c r="BF12" s="34">
        <v>0</v>
      </c>
      <c r="BG12" s="34">
        <v>0</v>
      </c>
      <c r="BH12" s="34">
        <v>0</v>
      </c>
      <c r="BI12" s="34">
        <v>0</v>
      </c>
      <c r="BJ12" s="34" t="s">
        <v>81</v>
      </c>
      <c r="BK12" s="34" t="s">
        <v>81</v>
      </c>
      <c r="BL12" s="34" t="s">
        <v>101</v>
      </c>
      <c r="BM12" s="34">
        <v>132</v>
      </c>
      <c r="BN12" s="34">
        <v>58</v>
      </c>
      <c r="BO12" s="34" t="s">
        <v>81</v>
      </c>
      <c r="BP12" s="34">
        <v>78</v>
      </c>
      <c r="BQ12" s="34">
        <v>35.5</v>
      </c>
      <c r="BR12" s="34" t="s">
        <v>81</v>
      </c>
      <c r="BS12" s="34">
        <v>1</v>
      </c>
      <c r="BT12" s="34">
        <v>0</v>
      </c>
      <c r="BU12" s="34" t="s">
        <v>81</v>
      </c>
      <c r="BV12" s="34">
        <v>0</v>
      </c>
      <c r="BW12" s="34">
        <v>1</v>
      </c>
      <c r="BX12" s="34">
        <v>0</v>
      </c>
      <c r="BY12" s="34">
        <v>1</v>
      </c>
      <c r="BZ12" s="34">
        <v>0</v>
      </c>
      <c r="CA12" s="34">
        <v>0</v>
      </c>
      <c r="CB12" s="34">
        <v>1</v>
      </c>
      <c r="CC12" s="34">
        <v>0</v>
      </c>
      <c r="CD12" s="34">
        <v>0</v>
      </c>
      <c r="CE12" s="34">
        <v>1</v>
      </c>
      <c r="CF12" s="34">
        <v>1</v>
      </c>
      <c r="CG12" s="34">
        <v>1</v>
      </c>
      <c r="CH12" s="34" t="s">
        <v>81</v>
      </c>
      <c r="CI12" s="34" t="s">
        <v>81</v>
      </c>
      <c r="CJ12" s="34">
        <v>2</v>
      </c>
      <c r="CK12" s="34" t="s">
        <v>81</v>
      </c>
      <c r="CL12" s="34">
        <v>1</v>
      </c>
      <c r="CM12" s="34">
        <v>0</v>
      </c>
      <c r="CN12" s="34" t="s">
        <v>81</v>
      </c>
      <c r="CO12" s="34" t="s">
        <v>81</v>
      </c>
      <c r="CP12" s="34" t="s">
        <v>81</v>
      </c>
      <c r="CQ12" s="34" t="s">
        <v>81</v>
      </c>
      <c r="CR12" s="34" t="s">
        <v>81</v>
      </c>
      <c r="CS12" s="34">
        <v>23</v>
      </c>
      <c r="CT12" s="35">
        <v>40389</v>
      </c>
      <c r="CU12" s="34" t="s">
        <v>81</v>
      </c>
      <c r="CV12" s="34">
        <v>102</v>
      </c>
      <c r="CW12" s="34">
        <v>0.69</v>
      </c>
      <c r="CX12" s="34">
        <v>187</v>
      </c>
      <c r="CY12" s="34">
        <v>234</v>
      </c>
      <c r="CZ12" s="34">
        <v>117</v>
      </c>
      <c r="DA12" s="34">
        <v>58</v>
      </c>
      <c r="DB12" s="34">
        <v>394</v>
      </c>
      <c r="DC12" s="34">
        <v>19.600000000000001</v>
      </c>
      <c r="DD12" s="34" t="s">
        <v>81</v>
      </c>
      <c r="DE12" s="34">
        <v>1</v>
      </c>
      <c r="DF12" s="34">
        <v>19.600000000000001</v>
      </c>
      <c r="DG12" s="34">
        <v>14.45</v>
      </c>
      <c r="DH12" s="34">
        <v>485</v>
      </c>
      <c r="DI12" s="34" t="s">
        <v>81</v>
      </c>
      <c r="DJ12" s="34" t="s">
        <v>81</v>
      </c>
      <c r="DK12" s="34">
        <v>33</v>
      </c>
      <c r="DL12" s="34">
        <v>137</v>
      </c>
      <c r="DM12" s="34">
        <v>4.4000000000000004</v>
      </c>
      <c r="DN12" s="34">
        <v>5600</v>
      </c>
      <c r="DO12" s="34">
        <v>63</v>
      </c>
      <c r="DP12" s="34" t="s">
        <v>81</v>
      </c>
      <c r="DQ12" s="34">
        <v>139</v>
      </c>
      <c r="DR12" s="34">
        <v>40</v>
      </c>
      <c r="DS12" s="34">
        <v>1000</v>
      </c>
      <c r="DT12" s="34">
        <v>83</v>
      </c>
      <c r="DU12" s="34">
        <v>13.7</v>
      </c>
      <c r="DV12" s="34">
        <v>54.6</v>
      </c>
      <c r="DW12" s="34">
        <v>1.42</v>
      </c>
      <c r="DX12" s="34">
        <v>24</v>
      </c>
      <c r="DY12" s="34" t="s">
        <v>81</v>
      </c>
      <c r="DZ12" s="34" t="s">
        <v>81</v>
      </c>
      <c r="EA12" s="34">
        <v>0</v>
      </c>
      <c r="EB12" s="34">
        <v>82.62</v>
      </c>
      <c r="EC12" s="34">
        <v>2</v>
      </c>
      <c r="ED12" s="34">
        <v>-1</v>
      </c>
      <c r="EE12" s="34">
        <v>1</v>
      </c>
      <c r="EF12" s="34">
        <v>0</v>
      </c>
      <c r="EG12" s="34">
        <v>2</v>
      </c>
      <c r="EH12" s="34">
        <v>1</v>
      </c>
      <c r="EI12" s="34" t="s">
        <v>81</v>
      </c>
      <c r="EJ12" s="34">
        <v>0</v>
      </c>
      <c r="EK12" s="34" t="s">
        <v>81</v>
      </c>
      <c r="EL12" s="34" t="s">
        <v>81</v>
      </c>
      <c r="EM12" s="34">
        <v>0.69</v>
      </c>
      <c r="EN12" s="34" t="s">
        <v>81</v>
      </c>
      <c r="EO12" s="34" t="s">
        <v>81</v>
      </c>
      <c r="EP12" s="34">
        <v>0.96</v>
      </c>
      <c r="EQ12" s="34" t="s">
        <v>81</v>
      </c>
      <c r="ER12" s="34" t="s">
        <v>81</v>
      </c>
      <c r="ES12" s="34">
        <v>0.9</v>
      </c>
      <c r="ET12" s="34" t="s">
        <v>81</v>
      </c>
      <c r="EU12" s="34" t="s">
        <v>81</v>
      </c>
      <c r="EV12" s="34" t="s">
        <v>81</v>
      </c>
      <c r="EW12" s="34">
        <v>0.95</v>
      </c>
      <c r="EX12" s="34" t="s">
        <v>81</v>
      </c>
      <c r="EY12" s="34" t="s">
        <v>81</v>
      </c>
      <c r="EZ12" s="34" t="s">
        <v>81</v>
      </c>
      <c r="FA12" s="34" t="s">
        <v>81</v>
      </c>
      <c r="FB12" s="34" t="s">
        <v>81</v>
      </c>
      <c r="FC12" s="34" t="s">
        <v>81</v>
      </c>
      <c r="FD12" s="34" t="s">
        <v>81</v>
      </c>
      <c r="FE12" s="34" t="s">
        <v>81</v>
      </c>
      <c r="FF12" s="34" t="s">
        <v>81</v>
      </c>
      <c r="FG12" s="34" t="s">
        <v>81</v>
      </c>
      <c r="FH12" s="34" t="s">
        <v>81</v>
      </c>
      <c r="FI12" s="34" t="s">
        <v>81</v>
      </c>
      <c r="FJ12" s="34" t="s">
        <v>81</v>
      </c>
      <c r="FK12" s="34" t="s">
        <v>81</v>
      </c>
      <c r="FL12" s="34" t="s">
        <v>81</v>
      </c>
      <c r="FM12" s="34" t="s">
        <v>81</v>
      </c>
      <c r="FN12" s="34" t="s">
        <v>81</v>
      </c>
      <c r="FO12" s="34" t="s">
        <v>81</v>
      </c>
      <c r="FP12" s="34" t="s">
        <v>81</v>
      </c>
      <c r="FQ12" s="34" t="s">
        <v>81</v>
      </c>
      <c r="FR12" s="34" t="s">
        <v>81</v>
      </c>
      <c r="FS12" s="34" t="s">
        <v>81</v>
      </c>
      <c r="FT12" s="34" t="s">
        <v>81</v>
      </c>
      <c r="FU12" s="34" t="s">
        <v>81</v>
      </c>
      <c r="FV12" s="34" t="s">
        <v>81</v>
      </c>
      <c r="FW12" s="34" t="s">
        <v>81</v>
      </c>
      <c r="FX12" s="34" t="s">
        <v>81</v>
      </c>
      <c r="FY12" s="34" t="s">
        <v>81</v>
      </c>
      <c r="FZ12" s="34">
        <v>39</v>
      </c>
      <c r="GA12" s="34">
        <v>68.62</v>
      </c>
    </row>
    <row r="13" spans="1:183" x14ac:dyDescent="0.25">
      <c r="A13" s="34">
        <v>11</v>
      </c>
      <c r="B13" s="4" t="s">
        <v>102</v>
      </c>
      <c r="C13" s="5" t="s">
        <v>725</v>
      </c>
      <c r="D13" s="5" t="s">
        <v>731</v>
      </c>
      <c r="E13" s="34">
        <v>25</v>
      </c>
      <c r="F13" s="34">
        <v>1</v>
      </c>
      <c r="G13" s="34">
        <v>1</v>
      </c>
      <c r="H13" s="34">
        <v>3</v>
      </c>
      <c r="I13" s="34">
        <v>1</v>
      </c>
      <c r="J13" s="35">
        <v>40427</v>
      </c>
      <c r="K13" s="35">
        <v>40428</v>
      </c>
      <c r="L13" s="35">
        <v>22761</v>
      </c>
      <c r="M13" s="34">
        <v>48</v>
      </c>
      <c r="N13" s="34">
        <v>2</v>
      </c>
      <c r="O13" s="34">
        <v>0</v>
      </c>
      <c r="P13" s="34">
        <v>1</v>
      </c>
      <c r="Q13" s="34">
        <v>4</v>
      </c>
      <c r="R13" s="34">
        <v>2</v>
      </c>
      <c r="S13" s="34">
        <v>9</v>
      </c>
      <c r="T13" s="34">
        <v>32</v>
      </c>
      <c r="U13" s="34">
        <v>8.6</v>
      </c>
      <c r="V13" s="34">
        <v>2</v>
      </c>
      <c r="W13" s="34">
        <v>1</v>
      </c>
      <c r="X13" s="34" t="s">
        <v>81</v>
      </c>
      <c r="Y13" s="34">
        <v>0</v>
      </c>
      <c r="Z13" s="35">
        <v>40452</v>
      </c>
      <c r="AA13" s="34">
        <v>25</v>
      </c>
      <c r="AB13" s="34">
        <v>1</v>
      </c>
      <c r="AC13" s="34">
        <v>1</v>
      </c>
      <c r="AD13" s="34">
        <v>1</v>
      </c>
      <c r="AE13" s="34">
        <v>1</v>
      </c>
      <c r="AF13" s="34">
        <v>1</v>
      </c>
      <c r="AG13" s="34">
        <v>1</v>
      </c>
      <c r="AH13" s="34">
        <v>1</v>
      </c>
      <c r="AI13" s="34">
        <v>2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1</v>
      </c>
      <c r="AP13" s="34">
        <v>4</v>
      </c>
      <c r="AQ13" s="34">
        <v>0</v>
      </c>
      <c r="AR13" s="34">
        <v>0</v>
      </c>
      <c r="AS13" s="34">
        <v>0</v>
      </c>
      <c r="AT13" s="34">
        <v>0</v>
      </c>
      <c r="AU13" s="34">
        <v>0</v>
      </c>
      <c r="AV13" s="34">
        <v>0</v>
      </c>
      <c r="AW13" s="34">
        <v>0</v>
      </c>
      <c r="AX13" s="34">
        <v>0</v>
      </c>
      <c r="AY13" s="34">
        <v>1</v>
      </c>
      <c r="AZ13" s="34">
        <v>13</v>
      </c>
      <c r="BA13" s="34" t="s">
        <v>466</v>
      </c>
      <c r="BB13" s="34" t="s">
        <v>467</v>
      </c>
      <c r="BC13" s="34" t="s">
        <v>81</v>
      </c>
      <c r="BD13" s="34">
        <v>1</v>
      </c>
      <c r="BE13" s="34">
        <v>1</v>
      </c>
      <c r="BF13" s="34">
        <v>1</v>
      </c>
      <c r="BG13" s="34">
        <v>1</v>
      </c>
      <c r="BH13" s="34">
        <v>1</v>
      </c>
      <c r="BI13" s="34">
        <v>6</v>
      </c>
      <c r="BJ13" s="34" t="s">
        <v>81</v>
      </c>
      <c r="BK13" s="34" t="s">
        <v>81</v>
      </c>
      <c r="BL13" s="34" t="s">
        <v>103</v>
      </c>
      <c r="BM13" s="34" t="s">
        <v>81</v>
      </c>
      <c r="BN13" s="34" t="s">
        <v>81</v>
      </c>
      <c r="BO13" s="34" t="s">
        <v>81</v>
      </c>
      <c r="BP13" s="34" t="s">
        <v>81</v>
      </c>
      <c r="BQ13" s="34" t="s">
        <v>81</v>
      </c>
      <c r="BR13" s="34" t="s">
        <v>81</v>
      </c>
      <c r="BS13" s="34" t="s">
        <v>81</v>
      </c>
      <c r="BT13" s="34" t="s">
        <v>81</v>
      </c>
      <c r="BU13" s="34" t="s">
        <v>81</v>
      </c>
      <c r="BV13" s="34">
        <v>1</v>
      </c>
      <c r="BW13" s="34">
        <v>1</v>
      </c>
      <c r="BX13" s="34">
        <v>0</v>
      </c>
      <c r="BY13" s="34">
        <v>1</v>
      </c>
      <c r="BZ13" s="34">
        <v>1</v>
      </c>
      <c r="CA13" s="34">
        <v>1</v>
      </c>
      <c r="CB13" s="34">
        <v>1</v>
      </c>
      <c r="CC13" s="34">
        <v>1</v>
      </c>
      <c r="CD13" s="34">
        <v>1</v>
      </c>
      <c r="CE13" s="34">
        <v>1</v>
      </c>
      <c r="CF13" s="34">
        <v>1</v>
      </c>
      <c r="CG13" s="34">
        <v>1</v>
      </c>
      <c r="CH13" s="34" t="s">
        <v>81</v>
      </c>
      <c r="CI13" s="34" t="s">
        <v>81</v>
      </c>
      <c r="CJ13" s="34">
        <v>6</v>
      </c>
      <c r="CK13" s="34" t="s">
        <v>81</v>
      </c>
      <c r="CL13" s="34">
        <v>1</v>
      </c>
      <c r="CM13" s="34">
        <v>1</v>
      </c>
      <c r="CN13" s="34" t="s">
        <v>81</v>
      </c>
      <c r="CO13" s="34" t="s">
        <v>81</v>
      </c>
      <c r="CP13" s="34" t="s">
        <v>81</v>
      </c>
      <c r="CQ13" s="34" t="s">
        <v>81</v>
      </c>
      <c r="CR13" s="34" t="s">
        <v>81</v>
      </c>
      <c r="CS13" s="34">
        <v>14</v>
      </c>
      <c r="CT13" s="35">
        <v>40428</v>
      </c>
      <c r="CU13" s="34" t="s">
        <v>81</v>
      </c>
      <c r="CV13" s="34">
        <v>67</v>
      </c>
      <c r="CW13" s="34">
        <v>2.99</v>
      </c>
      <c r="CX13" s="34">
        <v>134</v>
      </c>
      <c r="CY13" s="34">
        <v>126</v>
      </c>
      <c r="CZ13" s="34">
        <v>100</v>
      </c>
      <c r="DA13" s="34">
        <v>78</v>
      </c>
      <c r="DB13" s="34">
        <v>124</v>
      </c>
      <c r="DC13" s="34">
        <v>18.399999999999999</v>
      </c>
      <c r="DD13" s="34" t="s">
        <v>81</v>
      </c>
      <c r="DE13" s="34">
        <v>2.99</v>
      </c>
      <c r="DF13" s="34">
        <v>18.399999999999999</v>
      </c>
      <c r="DG13" s="34">
        <v>13.5</v>
      </c>
      <c r="DH13" s="34">
        <v>219</v>
      </c>
      <c r="DI13" s="34" t="s">
        <v>81</v>
      </c>
      <c r="DJ13" s="34" t="s">
        <v>81</v>
      </c>
      <c r="DK13" s="34">
        <v>30</v>
      </c>
      <c r="DL13" s="34">
        <v>130</v>
      </c>
      <c r="DM13" s="34">
        <v>4.0999999999999996</v>
      </c>
      <c r="DN13" s="34">
        <v>14880</v>
      </c>
      <c r="DO13" s="34">
        <v>83</v>
      </c>
      <c r="DP13" s="34" t="s">
        <v>81</v>
      </c>
      <c r="DQ13" s="34">
        <v>89</v>
      </c>
      <c r="DR13" s="34">
        <v>28</v>
      </c>
      <c r="DS13" s="34">
        <v>1209</v>
      </c>
      <c r="DT13" s="34">
        <v>231</v>
      </c>
      <c r="DU13" s="34">
        <v>13</v>
      </c>
      <c r="DV13" s="34">
        <v>56</v>
      </c>
      <c r="DW13" s="34">
        <v>1.49</v>
      </c>
      <c r="DX13" s="34">
        <v>12</v>
      </c>
      <c r="DY13" s="34" t="s">
        <v>81</v>
      </c>
      <c r="DZ13" s="34" t="s">
        <v>81</v>
      </c>
      <c r="EA13" s="34">
        <v>0</v>
      </c>
      <c r="EB13" s="34">
        <v>78.2</v>
      </c>
      <c r="EC13" s="34">
        <v>3</v>
      </c>
      <c r="ED13" s="34">
        <v>0</v>
      </c>
      <c r="EE13" s="34">
        <v>3</v>
      </c>
      <c r="EF13" s="34">
        <v>0</v>
      </c>
      <c r="EG13" s="34">
        <v>6</v>
      </c>
      <c r="EH13" s="34">
        <v>3</v>
      </c>
      <c r="EI13" s="34">
        <v>2</v>
      </c>
      <c r="EJ13" s="34">
        <v>1</v>
      </c>
      <c r="EK13" s="34" t="s">
        <v>81</v>
      </c>
      <c r="EL13" s="34" t="s">
        <v>81</v>
      </c>
      <c r="EM13" s="34">
        <v>3.4</v>
      </c>
      <c r="EN13" s="34">
        <v>2.99</v>
      </c>
      <c r="EO13" s="34">
        <v>3.19</v>
      </c>
      <c r="EP13" s="34">
        <v>3.33</v>
      </c>
      <c r="EQ13" s="34">
        <v>3.22</v>
      </c>
      <c r="ER13" s="34">
        <v>3.6</v>
      </c>
      <c r="ES13" s="34">
        <v>3.33</v>
      </c>
      <c r="ET13" s="34">
        <v>2.82</v>
      </c>
      <c r="EU13" s="34">
        <v>3.11</v>
      </c>
      <c r="EV13" s="34" t="s">
        <v>81</v>
      </c>
      <c r="EW13" s="34">
        <v>2.77</v>
      </c>
      <c r="EX13" s="34" t="s">
        <v>81</v>
      </c>
      <c r="EY13" s="34" t="s">
        <v>81</v>
      </c>
      <c r="EZ13" s="34" t="s">
        <v>81</v>
      </c>
      <c r="FA13" s="34">
        <v>2.78</v>
      </c>
      <c r="FB13" s="34" t="s">
        <v>81</v>
      </c>
      <c r="FC13" s="34">
        <v>2.96</v>
      </c>
      <c r="FD13" s="34" t="s">
        <v>81</v>
      </c>
      <c r="FE13" s="34">
        <v>2.6</v>
      </c>
      <c r="FF13" s="34">
        <v>2.67</v>
      </c>
      <c r="FG13" s="34">
        <v>2.65</v>
      </c>
      <c r="FH13" s="34">
        <v>2.5</v>
      </c>
      <c r="FI13" s="34">
        <v>2.7</v>
      </c>
      <c r="FJ13" s="34">
        <v>2.46</v>
      </c>
      <c r="FK13" s="34">
        <v>1.64</v>
      </c>
      <c r="FL13" s="34">
        <v>1.53</v>
      </c>
      <c r="FM13" s="34" t="s">
        <v>81</v>
      </c>
      <c r="FN13" s="34" t="s">
        <v>81</v>
      </c>
      <c r="FO13" s="34" t="s">
        <v>81</v>
      </c>
      <c r="FP13" s="34" t="s">
        <v>81</v>
      </c>
      <c r="FQ13" s="34" t="s">
        <v>81</v>
      </c>
      <c r="FR13" s="34" t="s">
        <v>81</v>
      </c>
      <c r="FS13" s="34" t="s">
        <v>81</v>
      </c>
      <c r="FT13" s="34" t="s">
        <v>81</v>
      </c>
      <c r="FU13" s="34" t="s">
        <v>81</v>
      </c>
      <c r="FV13" s="34" t="s">
        <v>81</v>
      </c>
      <c r="FW13" s="34" t="s">
        <v>81</v>
      </c>
      <c r="FX13" s="34" t="s">
        <v>81</v>
      </c>
      <c r="FY13" s="34" t="s">
        <v>81</v>
      </c>
      <c r="FZ13" s="34">
        <v>25</v>
      </c>
      <c r="GA13" s="34">
        <v>64.2</v>
      </c>
    </row>
    <row r="14" spans="1:183" x14ac:dyDescent="0.25">
      <c r="A14" s="34">
        <v>12</v>
      </c>
      <c r="B14" s="4" t="s">
        <v>104</v>
      </c>
      <c r="C14" s="5" t="s">
        <v>725</v>
      </c>
      <c r="D14" s="5" t="s">
        <v>731</v>
      </c>
      <c r="E14" s="34">
        <v>22</v>
      </c>
      <c r="F14" s="34">
        <v>1</v>
      </c>
      <c r="G14" s="34">
        <v>1</v>
      </c>
      <c r="H14" s="34">
        <v>3</v>
      </c>
      <c r="I14" s="34">
        <v>1</v>
      </c>
      <c r="J14" s="35">
        <v>40457</v>
      </c>
      <c r="K14" s="35">
        <v>40458</v>
      </c>
      <c r="L14" s="35">
        <v>29700</v>
      </c>
      <c r="M14" s="34">
        <v>29</v>
      </c>
      <c r="N14" s="34">
        <v>2</v>
      </c>
      <c r="O14" s="34">
        <v>0</v>
      </c>
      <c r="P14" s="34">
        <v>1</v>
      </c>
      <c r="Q14" s="34">
        <v>4</v>
      </c>
      <c r="R14" s="34">
        <v>3</v>
      </c>
      <c r="S14" s="34">
        <v>13</v>
      </c>
      <c r="T14" s="34">
        <v>33</v>
      </c>
      <c r="U14" s="34">
        <v>8.02</v>
      </c>
      <c r="V14" s="34">
        <v>2</v>
      </c>
      <c r="W14" s="34">
        <v>1</v>
      </c>
      <c r="X14" s="34">
        <v>0.98</v>
      </c>
      <c r="Y14" s="34">
        <v>0</v>
      </c>
      <c r="Z14" s="35">
        <v>40479</v>
      </c>
      <c r="AA14" s="34">
        <v>22</v>
      </c>
      <c r="AB14" s="34">
        <v>1</v>
      </c>
      <c r="AC14" s="34">
        <v>1</v>
      </c>
      <c r="AD14" s="34">
        <v>1</v>
      </c>
      <c r="AE14" s="34">
        <v>1</v>
      </c>
      <c r="AF14" s="34">
        <v>1</v>
      </c>
      <c r="AG14" s="34" t="s">
        <v>81</v>
      </c>
      <c r="AH14" s="34">
        <v>0</v>
      </c>
      <c r="AI14" s="34">
        <v>0</v>
      </c>
      <c r="AJ14" s="34">
        <v>1</v>
      </c>
      <c r="AK14" s="34">
        <v>2</v>
      </c>
      <c r="AL14" s="34">
        <v>1</v>
      </c>
      <c r="AM14" s="34">
        <v>2</v>
      </c>
      <c r="AN14" s="34">
        <v>1</v>
      </c>
      <c r="AO14" s="34">
        <v>1</v>
      </c>
      <c r="AP14" s="34">
        <v>4</v>
      </c>
      <c r="AQ14" s="34">
        <v>0</v>
      </c>
      <c r="AR14" s="34">
        <v>0</v>
      </c>
      <c r="AS14" s="34">
        <v>0</v>
      </c>
      <c r="AT14" s="34">
        <v>0</v>
      </c>
      <c r="AU14" s="34">
        <v>0</v>
      </c>
      <c r="AV14" s="34" t="s">
        <v>81</v>
      </c>
      <c r="AW14" s="34" t="s">
        <v>81</v>
      </c>
      <c r="AX14" s="34" t="s">
        <v>81</v>
      </c>
      <c r="AY14" s="34">
        <v>1</v>
      </c>
      <c r="AZ14" s="34">
        <v>10</v>
      </c>
      <c r="BA14" s="34" t="s">
        <v>470</v>
      </c>
      <c r="BB14" s="34" t="s">
        <v>471</v>
      </c>
      <c r="BC14" s="34" t="s">
        <v>81</v>
      </c>
      <c r="BD14" s="34">
        <v>0</v>
      </c>
      <c r="BE14" s="34">
        <v>0</v>
      </c>
      <c r="BF14" s="34">
        <v>0</v>
      </c>
      <c r="BG14" s="34">
        <v>0</v>
      </c>
      <c r="BH14" s="34">
        <v>1</v>
      </c>
      <c r="BI14" s="34">
        <v>6</v>
      </c>
      <c r="BJ14" s="34" t="s">
        <v>81</v>
      </c>
      <c r="BK14" s="34" t="s">
        <v>81</v>
      </c>
      <c r="BL14" s="34" t="s">
        <v>105</v>
      </c>
      <c r="BM14" s="34" t="s">
        <v>81</v>
      </c>
      <c r="BN14" s="34" t="s">
        <v>81</v>
      </c>
      <c r="BO14" s="34" t="s">
        <v>81</v>
      </c>
      <c r="BP14" s="34" t="s">
        <v>81</v>
      </c>
      <c r="BQ14" s="34" t="s">
        <v>81</v>
      </c>
      <c r="BR14" s="34" t="s">
        <v>81</v>
      </c>
      <c r="BS14" s="34" t="s">
        <v>81</v>
      </c>
      <c r="BT14" s="34" t="s">
        <v>81</v>
      </c>
      <c r="BU14" s="34" t="s">
        <v>81</v>
      </c>
      <c r="BV14" s="34">
        <v>1</v>
      </c>
      <c r="BW14" s="34">
        <v>1</v>
      </c>
      <c r="BX14" s="34">
        <v>0</v>
      </c>
      <c r="BY14" s="34">
        <v>1</v>
      </c>
      <c r="BZ14" s="34">
        <v>1</v>
      </c>
      <c r="CA14" s="34">
        <v>0</v>
      </c>
      <c r="CB14" s="34">
        <v>1</v>
      </c>
      <c r="CC14" s="34">
        <v>1</v>
      </c>
      <c r="CD14" s="34">
        <v>0</v>
      </c>
      <c r="CE14" s="34">
        <v>1</v>
      </c>
      <c r="CF14" s="34">
        <v>1</v>
      </c>
      <c r="CG14" s="34">
        <v>1</v>
      </c>
      <c r="CH14" s="34" t="s">
        <v>81</v>
      </c>
      <c r="CI14" s="34" t="s">
        <v>81</v>
      </c>
      <c r="CJ14" s="34">
        <v>4</v>
      </c>
      <c r="CK14" s="34" t="s">
        <v>81</v>
      </c>
      <c r="CL14" s="34">
        <v>1</v>
      </c>
      <c r="CM14" s="34">
        <v>1</v>
      </c>
      <c r="CN14" s="34" t="s">
        <v>81</v>
      </c>
      <c r="CO14" s="34" t="s">
        <v>81</v>
      </c>
      <c r="CP14" s="34" t="s">
        <v>81</v>
      </c>
      <c r="CQ14" s="34" t="s">
        <v>81</v>
      </c>
      <c r="CR14" s="34" t="s">
        <v>81</v>
      </c>
      <c r="CS14" s="34">
        <v>21.5</v>
      </c>
      <c r="CT14" s="35">
        <v>40458</v>
      </c>
      <c r="CU14" s="34" t="s">
        <v>81</v>
      </c>
      <c r="CV14" s="34">
        <v>101</v>
      </c>
      <c r="CW14" s="34">
        <v>1.05</v>
      </c>
      <c r="CX14" s="34">
        <v>83</v>
      </c>
      <c r="CY14" s="34">
        <v>129</v>
      </c>
      <c r="CZ14" s="34">
        <v>92</v>
      </c>
      <c r="DA14" s="34">
        <v>45</v>
      </c>
      <c r="DB14" s="34">
        <v>72</v>
      </c>
      <c r="DC14" s="34">
        <v>26.8</v>
      </c>
      <c r="DD14" s="34" t="s">
        <v>81</v>
      </c>
      <c r="DE14" s="34">
        <v>1.05</v>
      </c>
      <c r="DF14" s="34">
        <v>26.8</v>
      </c>
      <c r="DG14" s="34">
        <v>19.3</v>
      </c>
      <c r="DH14" s="34">
        <v>282</v>
      </c>
      <c r="DI14" s="34" t="s">
        <v>81</v>
      </c>
      <c r="DJ14" s="34" t="s">
        <v>81</v>
      </c>
      <c r="DK14" s="34">
        <v>21</v>
      </c>
      <c r="DL14" s="34">
        <v>130</v>
      </c>
      <c r="DM14" s="34">
        <v>2.9</v>
      </c>
      <c r="DN14" s="34">
        <v>12500</v>
      </c>
      <c r="DO14" s="34">
        <v>82</v>
      </c>
      <c r="DP14" s="34" t="s">
        <v>81</v>
      </c>
      <c r="DQ14" s="34">
        <v>87</v>
      </c>
      <c r="DR14" s="34">
        <v>25</v>
      </c>
      <c r="DS14" s="34">
        <v>1093</v>
      </c>
      <c r="DT14" s="34">
        <v>82</v>
      </c>
      <c r="DU14" s="34">
        <v>13</v>
      </c>
      <c r="DV14" s="34">
        <v>23</v>
      </c>
      <c r="DW14" s="34">
        <v>3.32</v>
      </c>
      <c r="DX14" s="34">
        <v>43.3</v>
      </c>
      <c r="DY14" s="34" t="s">
        <v>81</v>
      </c>
      <c r="DZ14" s="34" t="s">
        <v>81</v>
      </c>
      <c r="EA14" s="34">
        <v>0</v>
      </c>
      <c r="EB14" s="34">
        <v>86.6</v>
      </c>
      <c r="EC14" s="34">
        <v>3</v>
      </c>
      <c r="ED14" s="34">
        <v>0</v>
      </c>
      <c r="EE14" s="34">
        <v>4</v>
      </c>
      <c r="EF14" s="34">
        <v>0</v>
      </c>
      <c r="EG14" s="34">
        <v>7</v>
      </c>
      <c r="EH14" s="34">
        <v>3</v>
      </c>
      <c r="EI14" s="34">
        <v>0</v>
      </c>
      <c r="EJ14" s="34">
        <v>1</v>
      </c>
      <c r="EK14" s="34" t="s">
        <v>464</v>
      </c>
      <c r="EL14" s="34" t="s">
        <v>81</v>
      </c>
      <c r="EM14" s="34">
        <v>0.8</v>
      </c>
      <c r="EN14" s="34">
        <v>1.5</v>
      </c>
      <c r="EO14" s="34">
        <v>0.9</v>
      </c>
      <c r="EP14" s="34">
        <v>1.05</v>
      </c>
      <c r="EQ14" s="34" t="s">
        <v>81</v>
      </c>
      <c r="ER14" s="34">
        <v>0.85</v>
      </c>
      <c r="ES14" s="34">
        <v>1.1299999999999999</v>
      </c>
      <c r="ET14" s="34">
        <v>0.9</v>
      </c>
      <c r="EU14" s="34">
        <v>1.0900000000000001</v>
      </c>
      <c r="EV14" s="34">
        <v>1.1100000000000001</v>
      </c>
      <c r="EW14" s="34" t="s">
        <v>81</v>
      </c>
      <c r="EX14" s="34" t="s">
        <v>81</v>
      </c>
      <c r="EY14" s="34" t="s">
        <v>81</v>
      </c>
      <c r="EZ14" s="34">
        <v>1.2</v>
      </c>
      <c r="FA14" s="34" t="s">
        <v>81</v>
      </c>
      <c r="FB14" s="34" t="s">
        <v>81</v>
      </c>
      <c r="FC14" s="34">
        <v>1.08</v>
      </c>
      <c r="FD14" s="34" t="s">
        <v>81</v>
      </c>
      <c r="FE14" s="34" t="s">
        <v>81</v>
      </c>
      <c r="FF14" s="34" t="s">
        <v>81</v>
      </c>
      <c r="FG14" s="34">
        <v>1.65</v>
      </c>
      <c r="FH14" s="34" t="s">
        <v>81</v>
      </c>
      <c r="FI14" s="34" t="s">
        <v>81</v>
      </c>
      <c r="FJ14" s="34" t="s">
        <v>81</v>
      </c>
      <c r="FK14" s="34" t="s">
        <v>81</v>
      </c>
      <c r="FL14" s="34" t="s">
        <v>81</v>
      </c>
      <c r="FM14" s="34" t="s">
        <v>81</v>
      </c>
      <c r="FN14" s="34" t="s">
        <v>81</v>
      </c>
      <c r="FO14" s="34" t="s">
        <v>81</v>
      </c>
      <c r="FP14" s="34" t="s">
        <v>81</v>
      </c>
      <c r="FQ14" s="34" t="s">
        <v>81</v>
      </c>
      <c r="FR14" s="34" t="s">
        <v>81</v>
      </c>
      <c r="FS14" s="34" t="s">
        <v>81</v>
      </c>
      <c r="FT14" s="34" t="s">
        <v>81</v>
      </c>
      <c r="FU14" s="34" t="s">
        <v>81</v>
      </c>
      <c r="FV14" s="34" t="s">
        <v>81</v>
      </c>
      <c r="FW14" s="34" t="s">
        <v>81</v>
      </c>
      <c r="FX14" s="34" t="s">
        <v>81</v>
      </c>
      <c r="FY14" s="34" t="s">
        <v>81</v>
      </c>
      <c r="FZ14" s="34">
        <v>22</v>
      </c>
      <c r="GA14" s="34">
        <v>72.599999999999994</v>
      </c>
    </row>
    <row r="15" spans="1:183" x14ac:dyDescent="0.25">
      <c r="A15" s="34">
        <v>13</v>
      </c>
      <c r="B15" s="4" t="s">
        <v>106</v>
      </c>
      <c r="C15" s="5" t="s">
        <v>725</v>
      </c>
      <c r="D15" s="5" t="s">
        <v>731</v>
      </c>
      <c r="E15" s="34">
        <v>55</v>
      </c>
      <c r="F15" s="34">
        <v>1</v>
      </c>
      <c r="G15" s="34">
        <v>1</v>
      </c>
      <c r="H15" s="34">
        <v>3</v>
      </c>
      <c r="I15" s="34">
        <v>1</v>
      </c>
      <c r="J15" s="35">
        <v>40564</v>
      </c>
      <c r="K15" s="35">
        <v>40567</v>
      </c>
      <c r="L15" s="35">
        <v>18611</v>
      </c>
      <c r="M15" s="34">
        <v>60</v>
      </c>
      <c r="N15" s="34">
        <v>1</v>
      </c>
      <c r="O15" s="34">
        <v>0</v>
      </c>
      <c r="P15" s="34">
        <v>1</v>
      </c>
      <c r="Q15" s="34">
        <v>4</v>
      </c>
      <c r="R15" s="34">
        <v>2</v>
      </c>
      <c r="S15" s="34">
        <v>9</v>
      </c>
      <c r="T15" s="34">
        <v>24</v>
      </c>
      <c r="U15" s="34">
        <v>8.68</v>
      </c>
      <c r="V15" s="34">
        <v>2</v>
      </c>
      <c r="W15" s="34">
        <v>1</v>
      </c>
      <c r="X15" s="34">
        <v>0.98</v>
      </c>
      <c r="Y15" s="34">
        <v>0</v>
      </c>
      <c r="Z15" s="35">
        <v>40619</v>
      </c>
      <c r="AA15" s="34">
        <v>55</v>
      </c>
      <c r="AB15" s="34">
        <v>1</v>
      </c>
      <c r="AC15" s="34">
        <v>1</v>
      </c>
      <c r="AD15" s="34">
        <v>1</v>
      </c>
      <c r="AE15" s="34">
        <v>1</v>
      </c>
      <c r="AF15" s="34">
        <v>1</v>
      </c>
      <c r="AG15" s="34">
        <v>1</v>
      </c>
      <c r="AH15" s="34">
        <v>1</v>
      </c>
      <c r="AI15" s="34">
        <v>2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1</v>
      </c>
      <c r="AP15" s="34">
        <v>2</v>
      </c>
      <c r="AQ15" s="34">
        <v>0</v>
      </c>
      <c r="AR15" s="34">
        <v>0</v>
      </c>
      <c r="AS15" s="34">
        <v>0</v>
      </c>
      <c r="AT15" s="34">
        <v>0</v>
      </c>
      <c r="AU15" s="34">
        <v>0</v>
      </c>
      <c r="AV15" s="34" t="s">
        <v>81</v>
      </c>
      <c r="AW15" s="34" t="s">
        <v>81</v>
      </c>
      <c r="AX15" s="34" t="s">
        <v>81</v>
      </c>
      <c r="AY15" s="34">
        <v>1</v>
      </c>
      <c r="AZ15" s="34">
        <v>6</v>
      </c>
      <c r="BA15" s="34" t="s">
        <v>476</v>
      </c>
      <c r="BB15" s="34" t="s">
        <v>477</v>
      </c>
      <c r="BC15" s="34" t="s">
        <v>478</v>
      </c>
      <c r="BD15" s="34">
        <v>0</v>
      </c>
      <c r="BE15" s="34">
        <v>0</v>
      </c>
      <c r="BF15" s="34">
        <v>0</v>
      </c>
      <c r="BG15" s="34">
        <v>0</v>
      </c>
      <c r="BH15" s="34">
        <v>0</v>
      </c>
      <c r="BI15" s="34">
        <v>0</v>
      </c>
      <c r="BJ15" s="34" t="s">
        <v>81</v>
      </c>
      <c r="BK15" s="34" t="s">
        <v>81</v>
      </c>
      <c r="BL15" s="34" t="s">
        <v>107</v>
      </c>
      <c r="BM15" s="34">
        <v>164</v>
      </c>
      <c r="BN15" s="34">
        <v>96</v>
      </c>
      <c r="BO15" s="34">
        <v>20</v>
      </c>
      <c r="BP15" s="34">
        <v>98</v>
      </c>
      <c r="BQ15" s="34">
        <v>36.6</v>
      </c>
      <c r="BR15" s="34" t="s">
        <v>81</v>
      </c>
      <c r="BS15" s="34">
        <v>0</v>
      </c>
      <c r="BT15" s="34">
        <v>1</v>
      </c>
      <c r="BU15" s="34">
        <v>0</v>
      </c>
      <c r="BV15" s="34">
        <v>0</v>
      </c>
      <c r="BW15" s="34">
        <v>1</v>
      </c>
      <c r="BX15" s="34">
        <v>0</v>
      </c>
      <c r="BY15" s="34">
        <v>1</v>
      </c>
      <c r="BZ15" s="34">
        <v>1</v>
      </c>
      <c r="CA15" s="34">
        <v>0</v>
      </c>
      <c r="CB15" s="34">
        <v>1</v>
      </c>
      <c r="CC15" s="34">
        <v>0</v>
      </c>
      <c r="CD15" s="34">
        <v>0</v>
      </c>
      <c r="CE15" s="34">
        <v>1</v>
      </c>
      <c r="CF15" s="34">
        <v>1</v>
      </c>
      <c r="CG15" s="34">
        <v>1</v>
      </c>
      <c r="CH15" s="34" t="s">
        <v>81</v>
      </c>
      <c r="CI15" s="34" t="s">
        <v>81</v>
      </c>
      <c r="CJ15" s="34">
        <v>3</v>
      </c>
      <c r="CK15" s="34" t="s">
        <v>81</v>
      </c>
      <c r="CL15" s="34">
        <v>1</v>
      </c>
      <c r="CM15" s="34">
        <v>1</v>
      </c>
      <c r="CN15" s="34" t="s">
        <v>81</v>
      </c>
      <c r="CO15" s="34" t="s">
        <v>81</v>
      </c>
      <c r="CP15" s="34" t="s">
        <v>81</v>
      </c>
      <c r="CQ15" s="34" t="s">
        <v>81</v>
      </c>
      <c r="CR15" s="34" t="s">
        <v>81</v>
      </c>
      <c r="CS15" s="34">
        <v>35</v>
      </c>
      <c r="CT15" s="35">
        <v>40564</v>
      </c>
      <c r="CU15" s="34" t="s">
        <v>81</v>
      </c>
      <c r="CV15" s="34">
        <v>127</v>
      </c>
      <c r="CW15" s="34">
        <v>1.37</v>
      </c>
      <c r="CX15" s="34">
        <v>175</v>
      </c>
      <c r="CY15" s="34">
        <v>242</v>
      </c>
      <c r="CZ15" s="34">
        <v>255</v>
      </c>
      <c r="DA15" s="34">
        <v>61</v>
      </c>
      <c r="DB15" s="34">
        <v>189</v>
      </c>
      <c r="DC15" s="34">
        <v>13.7</v>
      </c>
      <c r="DD15" s="34" t="s">
        <v>81</v>
      </c>
      <c r="DE15" s="34">
        <v>1.37</v>
      </c>
      <c r="DF15" s="34">
        <v>13.7</v>
      </c>
      <c r="DG15" s="34" t="s">
        <v>81</v>
      </c>
      <c r="DH15" s="34">
        <v>166</v>
      </c>
      <c r="DI15" s="34" t="s">
        <v>81</v>
      </c>
      <c r="DJ15" s="34" t="s">
        <v>81</v>
      </c>
      <c r="DK15" s="34">
        <v>25</v>
      </c>
      <c r="DL15" s="34">
        <v>132</v>
      </c>
      <c r="DM15" s="34">
        <v>4.9000000000000004</v>
      </c>
      <c r="DN15" s="34">
        <v>8000</v>
      </c>
      <c r="DO15" s="34">
        <v>75</v>
      </c>
      <c r="DP15" s="34" t="s">
        <v>81</v>
      </c>
      <c r="DQ15" s="34">
        <v>128</v>
      </c>
      <c r="DR15" s="34">
        <v>37</v>
      </c>
      <c r="DS15" s="34">
        <v>1040</v>
      </c>
      <c r="DT15" s="34">
        <v>148</v>
      </c>
      <c r="DU15" s="34">
        <v>13.2</v>
      </c>
      <c r="DV15" s="34">
        <v>52.7</v>
      </c>
      <c r="DW15" s="34">
        <v>1.46</v>
      </c>
      <c r="DX15" s="34">
        <v>23.4</v>
      </c>
      <c r="DY15" s="34" t="s">
        <v>81</v>
      </c>
      <c r="DZ15" s="34" t="s">
        <v>81</v>
      </c>
      <c r="EA15" s="34">
        <v>0</v>
      </c>
      <c r="EB15" s="34">
        <v>74.42</v>
      </c>
      <c r="EC15" s="34">
        <v>3</v>
      </c>
      <c r="ED15" s="34">
        <v>0</v>
      </c>
      <c r="EE15" s="34">
        <v>4</v>
      </c>
      <c r="EF15" s="34">
        <v>0</v>
      </c>
      <c r="EG15" s="34">
        <v>7</v>
      </c>
      <c r="EH15" s="34">
        <v>3</v>
      </c>
      <c r="EI15" s="34">
        <v>0</v>
      </c>
      <c r="EJ15" s="34">
        <v>1</v>
      </c>
      <c r="EK15" s="34" t="s">
        <v>81</v>
      </c>
      <c r="EL15" s="34" t="s">
        <v>81</v>
      </c>
      <c r="EM15" s="34">
        <v>1.4</v>
      </c>
      <c r="EN15" s="34">
        <v>0.8</v>
      </c>
      <c r="EO15" s="34" t="s">
        <v>81</v>
      </c>
      <c r="EP15" s="34">
        <v>0.8</v>
      </c>
      <c r="EQ15" s="34" t="s">
        <v>81</v>
      </c>
      <c r="ER15" s="34" t="s">
        <v>81</v>
      </c>
      <c r="ES15" s="34">
        <v>1.1000000000000001</v>
      </c>
      <c r="ET15" s="34" t="s">
        <v>81</v>
      </c>
      <c r="EU15" s="34" t="s">
        <v>81</v>
      </c>
      <c r="EV15" s="34" t="s">
        <v>81</v>
      </c>
      <c r="EW15" s="34">
        <v>1.5</v>
      </c>
      <c r="EX15" s="34">
        <v>1.5</v>
      </c>
      <c r="EY15" s="34" t="s">
        <v>81</v>
      </c>
      <c r="EZ15" s="34">
        <v>1.4</v>
      </c>
      <c r="FA15" s="34" t="s">
        <v>81</v>
      </c>
      <c r="FB15" s="34" t="s">
        <v>81</v>
      </c>
      <c r="FC15" s="34" t="s">
        <v>81</v>
      </c>
      <c r="FD15" s="34">
        <v>1.4</v>
      </c>
      <c r="FE15" s="34" t="s">
        <v>81</v>
      </c>
      <c r="FF15" s="34" t="s">
        <v>81</v>
      </c>
      <c r="FG15" s="34">
        <v>1.9</v>
      </c>
      <c r="FH15" s="34" t="s">
        <v>81</v>
      </c>
      <c r="FI15" s="34">
        <v>2.2999999999999998</v>
      </c>
      <c r="FJ15" s="34">
        <v>2</v>
      </c>
      <c r="FK15" s="34">
        <v>1.7</v>
      </c>
      <c r="FL15" s="34">
        <v>1.5</v>
      </c>
      <c r="FM15" s="34">
        <v>1.4</v>
      </c>
      <c r="FN15" s="34">
        <v>1.4</v>
      </c>
      <c r="FO15" s="34">
        <v>1.4</v>
      </c>
      <c r="FP15" s="34">
        <v>1.4</v>
      </c>
      <c r="FQ15" s="34">
        <v>1.4</v>
      </c>
      <c r="FR15" s="34" t="s">
        <v>81</v>
      </c>
      <c r="FS15" s="34" t="s">
        <v>81</v>
      </c>
      <c r="FT15" s="34" t="s">
        <v>81</v>
      </c>
      <c r="FU15" s="34" t="s">
        <v>81</v>
      </c>
      <c r="FV15" s="34" t="s">
        <v>81</v>
      </c>
      <c r="FW15" s="34" t="s">
        <v>81</v>
      </c>
      <c r="FX15" s="34" t="s">
        <v>81</v>
      </c>
      <c r="FY15" s="34" t="s">
        <v>81</v>
      </c>
      <c r="FZ15" s="34">
        <v>55</v>
      </c>
      <c r="GA15" s="34">
        <v>60.42</v>
      </c>
    </row>
    <row r="16" spans="1:183" x14ac:dyDescent="0.25">
      <c r="A16" s="34">
        <v>14</v>
      </c>
      <c r="B16" s="4" t="s">
        <v>108</v>
      </c>
      <c r="C16" s="5" t="s">
        <v>725</v>
      </c>
      <c r="D16" s="5" t="s">
        <v>730</v>
      </c>
      <c r="E16" s="34">
        <v>90</v>
      </c>
      <c r="F16" s="34">
        <v>1</v>
      </c>
      <c r="G16" s="34">
        <v>1</v>
      </c>
      <c r="H16" s="34">
        <v>3</v>
      </c>
      <c r="I16" s="34">
        <v>1</v>
      </c>
      <c r="J16" s="35">
        <v>40688</v>
      </c>
      <c r="K16" s="35">
        <v>40688</v>
      </c>
      <c r="L16" s="35">
        <v>23787</v>
      </c>
      <c r="M16" s="34">
        <v>56</v>
      </c>
      <c r="N16" s="34">
        <v>1</v>
      </c>
      <c r="O16" s="34">
        <v>0</v>
      </c>
      <c r="P16" s="34">
        <v>1</v>
      </c>
      <c r="Q16" s="34">
        <v>4</v>
      </c>
      <c r="R16" s="34">
        <v>3</v>
      </c>
      <c r="S16" s="34">
        <v>12</v>
      </c>
      <c r="T16" s="34">
        <v>22</v>
      </c>
      <c r="U16" s="34">
        <v>8.2799999999999994</v>
      </c>
      <c r="V16" s="34">
        <v>2</v>
      </c>
      <c r="W16" s="34">
        <v>1</v>
      </c>
      <c r="X16" s="34" t="s">
        <v>81</v>
      </c>
      <c r="Y16" s="34">
        <v>0</v>
      </c>
      <c r="Z16" s="35">
        <v>41055</v>
      </c>
      <c r="AA16" s="34">
        <v>367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1</v>
      </c>
      <c r="AI16" s="34">
        <v>2</v>
      </c>
      <c r="AJ16" s="34">
        <v>0</v>
      </c>
      <c r="AK16" s="34">
        <v>0</v>
      </c>
      <c r="AL16" s="34">
        <v>1</v>
      </c>
      <c r="AM16" s="34">
        <v>2</v>
      </c>
      <c r="AN16" s="34">
        <v>1</v>
      </c>
      <c r="AO16" s="34">
        <v>0</v>
      </c>
      <c r="AP16" s="34">
        <v>0</v>
      </c>
      <c r="AQ16" s="34">
        <v>0</v>
      </c>
      <c r="AR16" s="34">
        <v>0</v>
      </c>
      <c r="AS16" s="34">
        <v>0</v>
      </c>
      <c r="AT16" s="34">
        <v>0</v>
      </c>
      <c r="AU16" s="34">
        <v>0</v>
      </c>
      <c r="AV16" s="34" t="s">
        <v>81</v>
      </c>
      <c r="AW16" s="34" t="s">
        <v>81</v>
      </c>
      <c r="AX16" s="34" t="s">
        <v>81</v>
      </c>
      <c r="AY16" s="34">
        <v>1</v>
      </c>
      <c r="AZ16" s="34">
        <v>2</v>
      </c>
      <c r="BA16" s="34" t="s">
        <v>479</v>
      </c>
      <c r="BB16" s="34" t="s">
        <v>485</v>
      </c>
      <c r="BC16" s="34" t="s">
        <v>486</v>
      </c>
      <c r="BD16" s="34">
        <v>0</v>
      </c>
      <c r="BE16" s="34">
        <v>0</v>
      </c>
      <c r="BF16" s="34">
        <v>0</v>
      </c>
      <c r="BG16" s="34">
        <v>0</v>
      </c>
      <c r="BH16" s="34">
        <v>0</v>
      </c>
      <c r="BI16" s="34">
        <v>0</v>
      </c>
      <c r="BJ16" s="34" t="s">
        <v>81</v>
      </c>
      <c r="BK16" s="34" t="s">
        <v>81</v>
      </c>
      <c r="BL16" s="34" t="s">
        <v>81</v>
      </c>
      <c r="BM16" s="34">
        <v>129</v>
      </c>
      <c r="BN16" s="34">
        <v>77</v>
      </c>
      <c r="BO16" s="34" t="s">
        <v>81</v>
      </c>
      <c r="BP16" s="34">
        <v>94</v>
      </c>
      <c r="BQ16" s="34">
        <v>35.299999999999997</v>
      </c>
      <c r="BR16" s="34" t="s">
        <v>81</v>
      </c>
      <c r="BS16" s="34">
        <v>1</v>
      </c>
      <c r="BT16" s="34">
        <v>1</v>
      </c>
      <c r="BU16" s="34" t="s">
        <v>81</v>
      </c>
      <c r="BV16" s="34">
        <v>0</v>
      </c>
      <c r="BW16" s="34">
        <v>2</v>
      </c>
      <c r="BX16" s="34">
        <v>1</v>
      </c>
      <c r="BY16" s="34">
        <v>2</v>
      </c>
      <c r="BZ16" s="34">
        <v>0</v>
      </c>
      <c r="CA16" s="34">
        <v>0</v>
      </c>
      <c r="CB16" s="34">
        <v>1</v>
      </c>
      <c r="CC16" s="34">
        <v>0</v>
      </c>
      <c r="CD16" s="34">
        <v>0</v>
      </c>
      <c r="CE16" s="34">
        <v>1</v>
      </c>
      <c r="CF16" s="34">
        <v>1</v>
      </c>
      <c r="CG16" s="34">
        <v>1</v>
      </c>
      <c r="CH16" s="34" t="s">
        <v>81</v>
      </c>
      <c r="CI16" s="34" t="s">
        <v>81</v>
      </c>
      <c r="CJ16" s="34">
        <v>2</v>
      </c>
      <c r="CK16" s="34" t="s">
        <v>81</v>
      </c>
      <c r="CL16" s="34">
        <v>1</v>
      </c>
      <c r="CM16" s="34">
        <v>0</v>
      </c>
      <c r="CN16" s="34" t="s">
        <v>81</v>
      </c>
      <c r="CO16" s="34" t="s">
        <v>81</v>
      </c>
      <c r="CP16" s="34" t="s">
        <v>81</v>
      </c>
      <c r="CQ16" s="34" t="s">
        <v>81</v>
      </c>
      <c r="CR16" s="34" t="s">
        <v>81</v>
      </c>
      <c r="CS16" s="34">
        <v>30</v>
      </c>
      <c r="CT16" s="35">
        <v>40688</v>
      </c>
      <c r="CU16" s="34">
        <v>2.48</v>
      </c>
      <c r="CV16" s="34">
        <v>95</v>
      </c>
      <c r="CW16" s="34">
        <v>0.74</v>
      </c>
      <c r="CX16" s="34">
        <v>138</v>
      </c>
      <c r="CY16" s="34">
        <v>263</v>
      </c>
      <c r="CZ16" s="34">
        <v>249</v>
      </c>
      <c r="DA16" s="34">
        <v>32</v>
      </c>
      <c r="DB16" s="34">
        <v>837</v>
      </c>
      <c r="DC16" s="34">
        <v>13.9</v>
      </c>
      <c r="DD16" s="34" t="s">
        <v>81</v>
      </c>
      <c r="DE16" s="34">
        <v>1</v>
      </c>
      <c r="DF16" s="34">
        <v>13.9</v>
      </c>
      <c r="DG16" s="34" t="s">
        <v>81</v>
      </c>
      <c r="DH16" s="34">
        <v>797</v>
      </c>
      <c r="DI16" s="34" t="s">
        <v>81</v>
      </c>
      <c r="DJ16" s="34">
        <v>79</v>
      </c>
      <c r="DK16" s="34">
        <v>26</v>
      </c>
      <c r="DL16" s="34">
        <v>132</v>
      </c>
      <c r="DM16" s="34">
        <v>3.4</v>
      </c>
      <c r="DN16" s="34">
        <v>9200</v>
      </c>
      <c r="DO16" s="34">
        <v>76</v>
      </c>
      <c r="DP16" s="34" t="s">
        <v>81</v>
      </c>
      <c r="DQ16" s="34">
        <v>117</v>
      </c>
      <c r="DR16" s="34">
        <v>34</v>
      </c>
      <c r="DS16" s="34">
        <v>100</v>
      </c>
      <c r="DT16" s="34">
        <v>84</v>
      </c>
      <c r="DU16" s="34">
        <v>19.5</v>
      </c>
      <c r="DV16" s="34">
        <v>41.6</v>
      </c>
      <c r="DW16" s="34">
        <v>1.68</v>
      </c>
      <c r="DX16" s="34">
        <v>17.600000000000001</v>
      </c>
      <c r="DY16" s="34" t="s">
        <v>81</v>
      </c>
      <c r="DZ16" s="34" t="s">
        <v>81</v>
      </c>
      <c r="EA16" s="34">
        <v>0</v>
      </c>
      <c r="EB16" s="34">
        <v>103.6</v>
      </c>
      <c r="EC16" s="34">
        <v>3</v>
      </c>
      <c r="ED16" s="34">
        <v>-1</v>
      </c>
      <c r="EE16" s="34">
        <v>4</v>
      </c>
      <c r="EF16" s="34">
        <v>-1</v>
      </c>
      <c r="EG16" s="34">
        <v>5</v>
      </c>
      <c r="EH16" s="34">
        <v>2</v>
      </c>
      <c r="EI16" s="34">
        <v>0</v>
      </c>
      <c r="EJ16" s="34">
        <v>0</v>
      </c>
      <c r="EK16" s="34" t="s">
        <v>81</v>
      </c>
      <c r="EL16" s="34" t="s">
        <v>81</v>
      </c>
      <c r="EM16" s="34">
        <v>0.7</v>
      </c>
      <c r="EN16" s="34">
        <v>0.7</v>
      </c>
      <c r="EO16" s="34" t="s">
        <v>81</v>
      </c>
      <c r="EP16" s="34">
        <v>0.7</v>
      </c>
      <c r="EQ16" s="34" t="s">
        <v>81</v>
      </c>
      <c r="ER16" s="34" t="s">
        <v>81</v>
      </c>
      <c r="ES16" s="34">
        <v>0.8</v>
      </c>
      <c r="ET16" s="34" t="s">
        <v>81</v>
      </c>
      <c r="EU16" s="34">
        <v>0.8</v>
      </c>
      <c r="EV16" s="34">
        <v>0.8</v>
      </c>
      <c r="EW16" s="34" t="s">
        <v>81</v>
      </c>
      <c r="EX16" s="34" t="s">
        <v>81</v>
      </c>
      <c r="EY16" s="34">
        <v>0.7</v>
      </c>
      <c r="EZ16" s="34" t="s">
        <v>81</v>
      </c>
      <c r="FA16" s="34" t="s">
        <v>81</v>
      </c>
      <c r="FB16" s="34" t="s">
        <v>81</v>
      </c>
      <c r="FC16" s="34">
        <v>0.9</v>
      </c>
      <c r="FD16" s="34" t="s">
        <v>81</v>
      </c>
      <c r="FE16" s="34" t="s">
        <v>81</v>
      </c>
      <c r="FF16" s="34" t="s">
        <v>81</v>
      </c>
      <c r="FG16" s="34">
        <v>0.8</v>
      </c>
      <c r="FH16" s="34">
        <v>0.8</v>
      </c>
      <c r="FI16" s="34">
        <v>0.8</v>
      </c>
      <c r="FJ16" s="34" t="s">
        <v>81</v>
      </c>
      <c r="FK16" s="34" t="s">
        <v>81</v>
      </c>
      <c r="FL16" s="34" t="s">
        <v>81</v>
      </c>
      <c r="FM16" s="34">
        <v>0.8</v>
      </c>
      <c r="FN16" s="34" t="s">
        <v>81</v>
      </c>
      <c r="FO16" s="34" t="s">
        <v>81</v>
      </c>
      <c r="FP16" s="34" t="s">
        <v>81</v>
      </c>
      <c r="FQ16" s="34" t="s">
        <v>81</v>
      </c>
      <c r="FR16" s="34" t="s">
        <v>81</v>
      </c>
      <c r="FS16" s="34" t="s">
        <v>81</v>
      </c>
      <c r="FT16" s="34" t="s">
        <v>81</v>
      </c>
      <c r="FU16" s="34" t="s">
        <v>81</v>
      </c>
      <c r="FV16" s="34" t="s">
        <v>81</v>
      </c>
      <c r="FW16" s="34" t="s">
        <v>81</v>
      </c>
      <c r="FX16" s="34" t="s">
        <v>81</v>
      </c>
      <c r="FY16" s="34" t="s">
        <v>81</v>
      </c>
      <c r="FZ16" s="34">
        <v>90</v>
      </c>
      <c r="GA16" s="34">
        <v>89.6</v>
      </c>
    </row>
    <row r="17" spans="1:183" x14ac:dyDescent="0.25">
      <c r="A17" s="34">
        <v>15</v>
      </c>
      <c r="B17" s="4" t="s">
        <v>109</v>
      </c>
      <c r="C17" s="5" t="s">
        <v>725</v>
      </c>
      <c r="D17" s="5" t="s">
        <v>731</v>
      </c>
      <c r="E17" s="34">
        <v>5</v>
      </c>
      <c r="F17" s="34">
        <v>3</v>
      </c>
      <c r="G17" s="34">
        <v>1</v>
      </c>
      <c r="H17" s="34">
        <v>3</v>
      </c>
      <c r="I17" s="34">
        <v>1</v>
      </c>
      <c r="J17" s="35">
        <v>40717</v>
      </c>
      <c r="K17" s="35">
        <v>40717</v>
      </c>
      <c r="L17" s="35">
        <v>22660</v>
      </c>
      <c r="M17" s="34">
        <v>49</v>
      </c>
      <c r="N17" s="34">
        <v>1</v>
      </c>
      <c r="O17" s="34">
        <v>0</v>
      </c>
      <c r="P17" s="34">
        <v>1</v>
      </c>
      <c r="Q17" s="34">
        <v>4</v>
      </c>
      <c r="R17" s="34">
        <v>3</v>
      </c>
      <c r="S17" s="34">
        <v>12</v>
      </c>
      <c r="T17" s="34">
        <v>41</v>
      </c>
      <c r="U17" s="34">
        <v>11.07</v>
      </c>
      <c r="V17" s="34">
        <v>3</v>
      </c>
      <c r="W17" s="34">
        <v>1</v>
      </c>
      <c r="X17" s="34" t="s">
        <v>81</v>
      </c>
      <c r="Y17" s="34">
        <v>0</v>
      </c>
      <c r="Z17" s="35">
        <v>40722</v>
      </c>
      <c r="AA17" s="34">
        <v>5</v>
      </c>
      <c r="AB17" s="34">
        <v>1</v>
      </c>
      <c r="AC17" s="34">
        <v>1</v>
      </c>
      <c r="AD17" s="34">
        <v>1</v>
      </c>
      <c r="AE17" s="34">
        <v>1</v>
      </c>
      <c r="AF17" s="34">
        <v>1</v>
      </c>
      <c r="AG17" s="34">
        <v>1</v>
      </c>
      <c r="AH17" s="34">
        <v>1</v>
      </c>
      <c r="AI17" s="34">
        <v>1</v>
      </c>
      <c r="AJ17" s="34">
        <v>0</v>
      </c>
      <c r="AK17" s="34">
        <v>0</v>
      </c>
      <c r="AL17" s="34">
        <v>1</v>
      </c>
      <c r="AM17" s="34">
        <v>1</v>
      </c>
      <c r="AN17" s="34">
        <v>0</v>
      </c>
      <c r="AO17" s="34">
        <v>1</v>
      </c>
      <c r="AP17" s="34">
        <v>4</v>
      </c>
      <c r="AQ17" s="34">
        <v>1</v>
      </c>
      <c r="AR17" s="34">
        <v>1</v>
      </c>
      <c r="AS17" s="34">
        <v>0</v>
      </c>
      <c r="AT17" s="34">
        <v>0</v>
      </c>
      <c r="AU17" s="34">
        <v>1</v>
      </c>
      <c r="AV17" s="34" t="s">
        <v>110</v>
      </c>
      <c r="AW17" s="34" t="s">
        <v>487</v>
      </c>
      <c r="AX17" s="34" t="s">
        <v>488</v>
      </c>
      <c r="AY17" s="34">
        <v>1</v>
      </c>
      <c r="AZ17" s="34">
        <v>4</v>
      </c>
      <c r="BA17" s="34" t="s">
        <v>489</v>
      </c>
      <c r="BB17" s="34" t="s">
        <v>475</v>
      </c>
      <c r="BC17" s="34" t="s">
        <v>81</v>
      </c>
      <c r="BD17" s="34">
        <v>1</v>
      </c>
      <c r="BE17" s="34">
        <v>0</v>
      </c>
      <c r="BF17" s="34">
        <v>1</v>
      </c>
      <c r="BG17" s="34">
        <v>1</v>
      </c>
      <c r="BH17" s="34">
        <v>1</v>
      </c>
      <c r="BI17" s="34">
        <v>6</v>
      </c>
      <c r="BJ17" s="34" t="s">
        <v>81</v>
      </c>
      <c r="BK17" s="34" t="s">
        <v>81</v>
      </c>
      <c r="BL17" s="34" t="s">
        <v>111</v>
      </c>
      <c r="BM17" s="34">
        <v>80</v>
      </c>
      <c r="BN17" s="34">
        <v>40</v>
      </c>
      <c r="BO17" s="34" t="s">
        <v>81</v>
      </c>
      <c r="BP17" s="34">
        <v>70</v>
      </c>
      <c r="BQ17" s="34" t="s">
        <v>81</v>
      </c>
      <c r="BR17" s="34" t="s">
        <v>490</v>
      </c>
      <c r="BS17" s="34" t="s">
        <v>81</v>
      </c>
      <c r="BT17" s="34" t="s">
        <v>81</v>
      </c>
      <c r="BU17" s="34" t="s">
        <v>81</v>
      </c>
      <c r="BV17" s="34">
        <v>1</v>
      </c>
      <c r="BW17" s="34">
        <v>2</v>
      </c>
      <c r="BX17" s="34">
        <v>1</v>
      </c>
      <c r="BY17" s="34">
        <v>4</v>
      </c>
      <c r="BZ17" s="34">
        <v>1</v>
      </c>
      <c r="CA17" s="34">
        <v>1</v>
      </c>
      <c r="CB17" s="34">
        <v>1</v>
      </c>
      <c r="CC17" s="34">
        <v>1</v>
      </c>
      <c r="CD17" s="34">
        <v>0</v>
      </c>
      <c r="CE17" s="34">
        <v>1</v>
      </c>
      <c r="CF17" s="34">
        <v>1</v>
      </c>
      <c r="CG17" s="34">
        <v>1</v>
      </c>
      <c r="CH17" s="34" t="s">
        <v>81</v>
      </c>
      <c r="CI17" s="34" t="s">
        <v>81</v>
      </c>
      <c r="CJ17" s="34">
        <v>5</v>
      </c>
      <c r="CK17" s="34" t="s">
        <v>81</v>
      </c>
      <c r="CL17" s="34">
        <v>1</v>
      </c>
      <c r="CM17" s="34">
        <v>1</v>
      </c>
      <c r="CN17" s="34" t="s">
        <v>81</v>
      </c>
      <c r="CO17" s="34" t="s">
        <v>81</v>
      </c>
      <c r="CP17" s="34" t="s">
        <v>81</v>
      </c>
      <c r="CQ17" s="34" t="s">
        <v>81</v>
      </c>
      <c r="CR17" s="34" t="s">
        <v>81</v>
      </c>
      <c r="CS17" s="34" t="s">
        <v>81</v>
      </c>
      <c r="CT17" s="35">
        <v>40717</v>
      </c>
      <c r="CU17" s="34">
        <v>10.029999999999999</v>
      </c>
      <c r="CV17" s="34">
        <v>234</v>
      </c>
      <c r="CW17" s="34">
        <v>6.5</v>
      </c>
      <c r="CX17" s="34">
        <v>117</v>
      </c>
      <c r="CY17" s="34">
        <v>163</v>
      </c>
      <c r="CZ17" s="34">
        <v>125</v>
      </c>
      <c r="DA17" s="34">
        <v>26</v>
      </c>
      <c r="DB17" s="34">
        <v>457</v>
      </c>
      <c r="DC17" s="34">
        <v>30.8</v>
      </c>
      <c r="DD17" s="34" t="s">
        <v>81</v>
      </c>
      <c r="DE17" s="34">
        <v>4</v>
      </c>
      <c r="DF17" s="34">
        <v>30.8</v>
      </c>
      <c r="DG17" s="34" t="s">
        <v>81</v>
      </c>
      <c r="DH17" s="34">
        <v>415</v>
      </c>
      <c r="DI17" s="34" t="s">
        <v>81</v>
      </c>
      <c r="DJ17" s="34">
        <v>51</v>
      </c>
      <c r="DK17" s="34">
        <v>30</v>
      </c>
      <c r="DL17" s="34">
        <v>139</v>
      </c>
      <c r="DM17" s="34">
        <v>4.4000000000000004</v>
      </c>
      <c r="DN17" s="34">
        <v>15200</v>
      </c>
      <c r="DO17" s="34">
        <v>93.8</v>
      </c>
      <c r="DP17" s="34" t="s">
        <v>81</v>
      </c>
      <c r="DQ17" s="34">
        <v>110</v>
      </c>
      <c r="DR17" s="34">
        <v>33</v>
      </c>
      <c r="DS17" s="34">
        <v>107</v>
      </c>
      <c r="DT17" s="34">
        <v>236</v>
      </c>
      <c r="DU17" s="34">
        <v>25.9</v>
      </c>
      <c r="DV17" s="34">
        <v>30.2</v>
      </c>
      <c r="DW17" s="34">
        <v>2.2000000000000002</v>
      </c>
      <c r="DX17" s="34" t="s">
        <v>81</v>
      </c>
      <c r="DY17" s="34" t="s">
        <v>81</v>
      </c>
      <c r="DZ17" s="34" t="s">
        <v>81</v>
      </c>
      <c r="EA17" s="34">
        <v>1</v>
      </c>
      <c r="EB17" s="34">
        <v>149.94</v>
      </c>
      <c r="EC17" s="34" t="s">
        <v>81</v>
      </c>
      <c r="ED17" s="34" t="s">
        <v>81</v>
      </c>
      <c r="EE17" s="34" t="s">
        <v>81</v>
      </c>
      <c r="EF17" s="34" t="s">
        <v>81</v>
      </c>
      <c r="EG17" s="34" t="s">
        <v>81</v>
      </c>
      <c r="EH17" s="34" t="s">
        <v>81</v>
      </c>
      <c r="EI17" s="34">
        <v>0</v>
      </c>
      <c r="EJ17" s="34">
        <v>1</v>
      </c>
      <c r="EK17" s="34" t="s">
        <v>464</v>
      </c>
      <c r="EL17" s="34" t="s">
        <v>81</v>
      </c>
      <c r="EM17" s="34">
        <v>6.2</v>
      </c>
      <c r="EN17" s="34">
        <v>6.1</v>
      </c>
      <c r="EO17" s="34">
        <v>6.3</v>
      </c>
      <c r="EP17" s="34">
        <v>6.2</v>
      </c>
      <c r="EQ17" s="34">
        <v>5.9</v>
      </c>
      <c r="ER17" s="34">
        <v>6.1</v>
      </c>
      <c r="ES17" s="34" t="s">
        <v>81</v>
      </c>
      <c r="ET17" s="34" t="s">
        <v>81</v>
      </c>
      <c r="EU17" s="34" t="s">
        <v>81</v>
      </c>
      <c r="EV17" s="34" t="s">
        <v>81</v>
      </c>
      <c r="EW17" s="34" t="s">
        <v>81</v>
      </c>
      <c r="EX17" s="34" t="s">
        <v>81</v>
      </c>
      <c r="EY17" s="34" t="s">
        <v>81</v>
      </c>
      <c r="EZ17" s="34" t="s">
        <v>81</v>
      </c>
      <c r="FA17" s="34" t="s">
        <v>81</v>
      </c>
      <c r="FB17" s="34" t="s">
        <v>81</v>
      </c>
      <c r="FC17" s="34" t="s">
        <v>81</v>
      </c>
      <c r="FD17" s="34" t="s">
        <v>81</v>
      </c>
      <c r="FE17" s="34" t="s">
        <v>81</v>
      </c>
      <c r="FF17" s="34" t="s">
        <v>81</v>
      </c>
      <c r="FG17" s="34" t="s">
        <v>81</v>
      </c>
      <c r="FH17" s="34" t="s">
        <v>81</v>
      </c>
      <c r="FI17" s="34" t="s">
        <v>81</v>
      </c>
      <c r="FJ17" s="34" t="s">
        <v>81</v>
      </c>
      <c r="FK17" s="34" t="s">
        <v>81</v>
      </c>
      <c r="FL17" s="34" t="s">
        <v>81</v>
      </c>
      <c r="FM17" s="34" t="s">
        <v>81</v>
      </c>
      <c r="FN17" s="34" t="s">
        <v>81</v>
      </c>
      <c r="FO17" s="34" t="s">
        <v>81</v>
      </c>
      <c r="FP17" s="34" t="s">
        <v>81</v>
      </c>
      <c r="FQ17" s="34" t="s">
        <v>81</v>
      </c>
      <c r="FR17" s="34" t="s">
        <v>81</v>
      </c>
      <c r="FS17" s="34" t="s">
        <v>81</v>
      </c>
      <c r="FT17" s="34" t="s">
        <v>81</v>
      </c>
      <c r="FU17" s="34" t="s">
        <v>81</v>
      </c>
      <c r="FV17" s="34" t="s">
        <v>81</v>
      </c>
      <c r="FW17" s="34" t="s">
        <v>81</v>
      </c>
      <c r="FX17" s="34" t="s">
        <v>81</v>
      </c>
      <c r="FY17" s="34" t="s">
        <v>81</v>
      </c>
      <c r="FZ17" s="34">
        <v>5</v>
      </c>
      <c r="GA17" s="34">
        <v>135.94</v>
      </c>
    </row>
    <row r="18" spans="1:183" x14ac:dyDescent="0.25">
      <c r="A18" s="34">
        <v>16</v>
      </c>
      <c r="B18" s="4" t="s">
        <v>112</v>
      </c>
      <c r="C18" s="5" t="s">
        <v>725</v>
      </c>
      <c r="D18" s="5" t="s">
        <v>731</v>
      </c>
      <c r="E18" s="34">
        <v>75</v>
      </c>
      <c r="F18" s="34">
        <v>1</v>
      </c>
      <c r="G18" s="34">
        <v>1</v>
      </c>
      <c r="H18" s="34">
        <v>3</v>
      </c>
      <c r="I18" s="34">
        <v>1</v>
      </c>
      <c r="J18" s="35">
        <v>40920</v>
      </c>
      <c r="K18" s="35">
        <v>40924</v>
      </c>
      <c r="L18" s="35">
        <v>17173</v>
      </c>
      <c r="M18" s="34">
        <v>65</v>
      </c>
      <c r="N18" s="34">
        <v>1</v>
      </c>
      <c r="O18" s="34">
        <v>0</v>
      </c>
      <c r="P18" s="34">
        <v>1</v>
      </c>
      <c r="Q18" s="34">
        <v>4</v>
      </c>
      <c r="R18" s="34">
        <v>3</v>
      </c>
      <c r="S18" s="34">
        <v>12</v>
      </c>
      <c r="T18" s="34">
        <v>21</v>
      </c>
      <c r="U18" s="34">
        <v>8.9</v>
      </c>
      <c r="V18" s="34">
        <v>2</v>
      </c>
      <c r="W18" s="34">
        <v>1</v>
      </c>
      <c r="X18" s="34">
        <v>0.64</v>
      </c>
      <c r="Y18" s="34">
        <v>0</v>
      </c>
      <c r="Z18" s="35">
        <v>40995</v>
      </c>
      <c r="AA18" s="34">
        <v>75</v>
      </c>
      <c r="AB18" s="34">
        <v>1</v>
      </c>
      <c r="AC18" s="34">
        <v>1</v>
      </c>
      <c r="AD18" s="34">
        <v>1</v>
      </c>
      <c r="AE18" s="34">
        <v>1</v>
      </c>
      <c r="AF18" s="34">
        <v>1</v>
      </c>
      <c r="AG18" s="34">
        <v>0</v>
      </c>
      <c r="AH18" s="34">
        <v>1</v>
      </c>
      <c r="AI18" s="34">
        <v>2</v>
      </c>
      <c r="AJ18" s="34">
        <v>0</v>
      </c>
      <c r="AK18" s="34">
        <v>0</v>
      </c>
      <c r="AL18" s="34">
        <v>1</v>
      </c>
      <c r="AM18" s="34">
        <v>1</v>
      </c>
      <c r="AN18" s="34">
        <v>0</v>
      </c>
      <c r="AO18" s="34">
        <v>0</v>
      </c>
      <c r="AP18" s="34">
        <v>0</v>
      </c>
      <c r="AQ18" s="34">
        <v>0</v>
      </c>
      <c r="AR18" s="34">
        <v>0</v>
      </c>
      <c r="AS18" s="34">
        <v>0</v>
      </c>
      <c r="AT18" s="34">
        <v>0</v>
      </c>
      <c r="AU18" s="34">
        <v>0</v>
      </c>
      <c r="AV18" s="34" t="s">
        <v>113</v>
      </c>
      <c r="AW18" s="34" t="s">
        <v>81</v>
      </c>
      <c r="AX18" s="34" t="s">
        <v>81</v>
      </c>
      <c r="AY18" s="34" t="s">
        <v>81</v>
      </c>
      <c r="AZ18" s="34" t="s">
        <v>81</v>
      </c>
      <c r="BA18" s="34" t="s">
        <v>81</v>
      </c>
      <c r="BB18" s="34" t="s">
        <v>81</v>
      </c>
      <c r="BC18" s="34" t="s">
        <v>81</v>
      </c>
      <c r="BD18" s="34">
        <v>0</v>
      </c>
      <c r="BE18" s="34">
        <v>0</v>
      </c>
      <c r="BF18" s="34">
        <v>0</v>
      </c>
      <c r="BG18" s="34">
        <v>0</v>
      </c>
      <c r="BH18" s="34">
        <v>0</v>
      </c>
      <c r="BI18" s="34">
        <v>0</v>
      </c>
      <c r="BJ18" s="34" t="s">
        <v>81</v>
      </c>
      <c r="BK18" s="34" t="s">
        <v>81</v>
      </c>
      <c r="BL18" s="34" t="s">
        <v>114</v>
      </c>
      <c r="BM18" s="34">
        <v>130</v>
      </c>
      <c r="BN18" s="34">
        <v>70</v>
      </c>
      <c r="BO18" s="34">
        <v>23</v>
      </c>
      <c r="BP18" s="34">
        <v>96</v>
      </c>
      <c r="BQ18" s="34">
        <v>36</v>
      </c>
      <c r="BR18" s="34" t="s">
        <v>81</v>
      </c>
      <c r="BS18" s="34">
        <v>0</v>
      </c>
      <c r="BT18" s="34">
        <v>1</v>
      </c>
      <c r="BU18" s="34">
        <v>1</v>
      </c>
      <c r="BV18" s="34">
        <v>0</v>
      </c>
      <c r="BW18" s="34">
        <v>2</v>
      </c>
      <c r="BX18" s="34">
        <v>1</v>
      </c>
      <c r="BY18" s="34">
        <v>2</v>
      </c>
      <c r="BZ18" s="34">
        <v>1</v>
      </c>
      <c r="CA18" s="34">
        <v>0</v>
      </c>
      <c r="CB18" s="34">
        <v>1</v>
      </c>
      <c r="CC18" s="34">
        <v>0</v>
      </c>
      <c r="CD18" s="34">
        <v>0</v>
      </c>
      <c r="CE18" s="34">
        <v>1</v>
      </c>
      <c r="CF18" s="34">
        <v>1</v>
      </c>
      <c r="CG18" s="34">
        <v>1</v>
      </c>
      <c r="CH18" s="34" t="s">
        <v>81</v>
      </c>
      <c r="CI18" s="34" t="s">
        <v>81</v>
      </c>
      <c r="CJ18" s="34">
        <v>3</v>
      </c>
      <c r="CK18" s="34" t="s">
        <v>81</v>
      </c>
      <c r="CL18" s="34">
        <v>1</v>
      </c>
      <c r="CM18" s="34">
        <v>1</v>
      </c>
      <c r="CN18" s="34" t="s">
        <v>81</v>
      </c>
      <c r="CO18" s="34" t="s">
        <v>81</v>
      </c>
      <c r="CP18" s="34" t="s">
        <v>81</v>
      </c>
      <c r="CQ18" s="34" t="s">
        <v>81</v>
      </c>
      <c r="CR18" s="34" t="s">
        <v>81</v>
      </c>
      <c r="CS18" s="34">
        <v>22</v>
      </c>
      <c r="CT18" s="35">
        <v>40921</v>
      </c>
      <c r="CU18" s="34">
        <v>8.27</v>
      </c>
      <c r="CV18" s="34">
        <v>90</v>
      </c>
      <c r="CW18" s="34">
        <v>1.34</v>
      </c>
      <c r="CX18" s="34">
        <v>119</v>
      </c>
      <c r="CY18" s="34">
        <v>118</v>
      </c>
      <c r="CZ18" s="34">
        <v>240</v>
      </c>
      <c r="DA18" s="34">
        <v>90</v>
      </c>
      <c r="DB18" s="34">
        <v>604</v>
      </c>
      <c r="DC18" s="34">
        <v>10.5</v>
      </c>
      <c r="DD18" s="34" t="s">
        <v>81</v>
      </c>
      <c r="DE18" s="34">
        <v>1.34</v>
      </c>
      <c r="DF18" s="34">
        <v>10.5</v>
      </c>
      <c r="DG18" s="34" t="s">
        <v>81</v>
      </c>
      <c r="DH18" s="34">
        <v>389</v>
      </c>
      <c r="DI18" s="34" t="s">
        <v>81</v>
      </c>
      <c r="DJ18" s="34">
        <v>75</v>
      </c>
      <c r="DK18" s="34">
        <v>21</v>
      </c>
      <c r="DL18" s="34">
        <v>114</v>
      </c>
      <c r="DM18" s="34">
        <v>4.4000000000000004</v>
      </c>
      <c r="DN18" s="34">
        <v>11500</v>
      </c>
      <c r="DO18" s="34">
        <v>83.5</v>
      </c>
      <c r="DP18" s="34" t="s">
        <v>81</v>
      </c>
      <c r="DQ18" s="34">
        <v>118</v>
      </c>
      <c r="DR18" s="34">
        <v>35</v>
      </c>
      <c r="DS18" s="34">
        <v>110</v>
      </c>
      <c r="DT18" s="34">
        <v>253</v>
      </c>
      <c r="DU18" s="34">
        <v>16.100000000000001</v>
      </c>
      <c r="DV18" s="34">
        <v>49.2</v>
      </c>
      <c r="DW18" s="34">
        <v>1.35</v>
      </c>
      <c r="DX18" s="34">
        <v>4.8</v>
      </c>
      <c r="DY18" s="34" t="s">
        <v>81</v>
      </c>
      <c r="DZ18" s="34" t="s">
        <v>81</v>
      </c>
      <c r="EA18" s="34">
        <v>0</v>
      </c>
      <c r="EB18" s="34" t="s">
        <v>81</v>
      </c>
      <c r="EC18" s="34" t="s">
        <v>81</v>
      </c>
      <c r="ED18" s="34" t="s">
        <v>81</v>
      </c>
      <c r="EE18" s="34" t="s">
        <v>81</v>
      </c>
      <c r="EF18" s="34" t="s">
        <v>81</v>
      </c>
      <c r="EG18" s="34" t="s">
        <v>81</v>
      </c>
      <c r="EH18" s="34" t="s">
        <v>81</v>
      </c>
      <c r="EI18" s="34">
        <v>0</v>
      </c>
      <c r="EJ18" s="34">
        <v>1</v>
      </c>
      <c r="EK18" s="34" t="s">
        <v>81</v>
      </c>
      <c r="EL18" s="34">
        <v>2</v>
      </c>
      <c r="EM18" s="34">
        <v>1.34</v>
      </c>
      <c r="EN18" s="34">
        <v>1.61</v>
      </c>
      <c r="EO18" s="34">
        <v>1.8</v>
      </c>
      <c r="EP18" s="34">
        <v>2.08</v>
      </c>
      <c r="EQ18" s="34">
        <v>2.0099999999999998</v>
      </c>
      <c r="ER18" s="34">
        <v>1.7</v>
      </c>
      <c r="ES18" s="34">
        <v>1.44</v>
      </c>
      <c r="ET18" s="34">
        <v>1.34</v>
      </c>
      <c r="EU18" s="34">
        <v>1.1499999999999999</v>
      </c>
      <c r="EV18" s="34" t="s">
        <v>81</v>
      </c>
      <c r="EW18" s="34" t="s">
        <v>81</v>
      </c>
      <c r="EX18" s="34">
        <v>0.92</v>
      </c>
      <c r="EY18" s="34" t="s">
        <v>81</v>
      </c>
      <c r="EZ18" s="34" t="s">
        <v>81</v>
      </c>
      <c r="FA18" s="34">
        <v>0.71</v>
      </c>
      <c r="FB18" s="34" t="s">
        <v>81</v>
      </c>
      <c r="FC18" s="34" t="s">
        <v>81</v>
      </c>
      <c r="FD18" s="34" t="s">
        <v>81</v>
      </c>
      <c r="FE18" s="34" t="s">
        <v>81</v>
      </c>
      <c r="FF18" s="34" t="s">
        <v>81</v>
      </c>
      <c r="FG18" s="34" t="s">
        <v>81</v>
      </c>
      <c r="FH18" s="34" t="s">
        <v>81</v>
      </c>
      <c r="FI18" s="34" t="s">
        <v>81</v>
      </c>
      <c r="FJ18" s="34" t="s">
        <v>81</v>
      </c>
      <c r="FK18" s="34" t="s">
        <v>81</v>
      </c>
      <c r="FL18" s="34" t="s">
        <v>81</v>
      </c>
      <c r="FM18" s="34" t="s">
        <v>81</v>
      </c>
      <c r="FN18" s="34" t="s">
        <v>81</v>
      </c>
      <c r="FO18" s="34" t="s">
        <v>81</v>
      </c>
      <c r="FP18" s="34" t="s">
        <v>81</v>
      </c>
      <c r="FQ18" s="34" t="s">
        <v>81</v>
      </c>
      <c r="FR18" s="34" t="s">
        <v>81</v>
      </c>
      <c r="FS18" s="34" t="s">
        <v>81</v>
      </c>
      <c r="FT18" s="34" t="s">
        <v>81</v>
      </c>
      <c r="FU18" s="34" t="s">
        <v>81</v>
      </c>
      <c r="FV18" s="34" t="s">
        <v>81</v>
      </c>
      <c r="FW18" s="34" t="s">
        <v>81</v>
      </c>
      <c r="FX18" s="34" t="s">
        <v>81</v>
      </c>
      <c r="FY18" s="34" t="s">
        <v>81</v>
      </c>
      <c r="FZ18" s="34">
        <v>75</v>
      </c>
      <c r="GA18" s="34">
        <v>70.56</v>
      </c>
    </row>
    <row r="19" spans="1:183" x14ac:dyDescent="0.25">
      <c r="A19" s="34">
        <v>17</v>
      </c>
      <c r="B19" s="4" t="s">
        <v>115</v>
      </c>
      <c r="C19" s="5" t="s">
        <v>725</v>
      </c>
      <c r="D19" s="5" t="s">
        <v>730</v>
      </c>
      <c r="E19" s="34">
        <v>90</v>
      </c>
      <c r="F19" s="34">
        <v>1</v>
      </c>
      <c r="G19" s="34">
        <v>1</v>
      </c>
      <c r="H19" s="34">
        <v>3</v>
      </c>
      <c r="I19" s="34">
        <v>1</v>
      </c>
      <c r="J19" s="35">
        <v>40929</v>
      </c>
      <c r="K19" s="35">
        <v>40931</v>
      </c>
      <c r="L19" s="35">
        <v>19405</v>
      </c>
      <c r="M19" s="34">
        <v>58</v>
      </c>
      <c r="N19" s="34">
        <v>1</v>
      </c>
      <c r="O19" s="34">
        <v>0</v>
      </c>
      <c r="P19" s="34">
        <v>1</v>
      </c>
      <c r="Q19" s="34">
        <v>4</v>
      </c>
      <c r="R19" s="34">
        <v>3</v>
      </c>
      <c r="S19" s="34">
        <v>11</v>
      </c>
      <c r="T19" s="34">
        <v>22</v>
      </c>
      <c r="U19" s="34">
        <v>7.9</v>
      </c>
      <c r="V19" s="34">
        <v>2</v>
      </c>
      <c r="W19" s="34">
        <v>1</v>
      </c>
      <c r="X19" s="34">
        <v>0.6</v>
      </c>
      <c r="Y19" s="34">
        <v>0</v>
      </c>
      <c r="Z19" s="35">
        <v>41155</v>
      </c>
      <c r="AA19" s="34">
        <v>226</v>
      </c>
      <c r="AB19" s="34">
        <v>0</v>
      </c>
      <c r="AC19" s="34">
        <v>0</v>
      </c>
      <c r="AD19" s="34">
        <v>0</v>
      </c>
      <c r="AE19" s="34" t="s">
        <v>81</v>
      </c>
      <c r="AF19" s="34">
        <v>0</v>
      </c>
      <c r="AG19" s="34">
        <v>0</v>
      </c>
      <c r="AH19" s="34">
        <v>1</v>
      </c>
      <c r="AI19" s="34">
        <v>2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  <c r="AR19" s="34">
        <v>0</v>
      </c>
      <c r="AS19" s="34">
        <v>0</v>
      </c>
      <c r="AT19" s="34">
        <v>0</v>
      </c>
      <c r="AU19" s="34">
        <v>0</v>
      </c>
      <c r="AV19" s="34" t="s">
        <v>81</v>
      </c>
      <c r="AW19" s="34" t="s">
        <v>81</v>
      </c>
      <c r="AX19" s="34" t="s">
        <v>81</v>
      </c>
      <c r="AY19" s="34" t="s">
        <v>81</v>
      </c>
      <c r="AZ19" s="34" t="s">
        <v>81</v>
      </c>
      <c r="BA19" s="34" t="s">
        <v>492</v>
      </c>
      <c r="BB19" s="34" t="s">
        <v>81</v>
      </c>
      <c r="BC19" s="34" t="s">
        <v>81</v>
      </c>
      <c r="BD19" s="34">
        <v>0</v>
      </c>
      <c r="BE19" s="34">
        <v>0</v>
      </c>
      <c r="BF19" s="34">
        <v>0</v>
      </c>
      <c r="BG19" s="34">
        <v>0</v>
      </c>
      <c r="BH19" s="34">
        <v>0</v>
      </c>
      <c r="BI19" s="34">
        <v>0</v>
      </c>
      <c r="BJ19" s="34" t="s">
        <v>81</v>
      </c>
      <c r="BK19" s="34" t="s">
        <v>81</v>
      </c>
      <c r="BL19" s="34" t="s">
        <v>81</v>
      </c>
      <c r="BM19" s="34">
        <v>159</v>
      </c>
      <c r="BN19" s="34">
        <v>94</v>
      </c>
      <c r="BO19" s="34">
        <v>20</v>
      </c>
      <c r="BP19" s="34">
        <v>90</v>
      </c>
      <c r="BQ19" s="34">
        <v>362</v>
      </c>
      <c r="BR19" s="34" t="s">
        <v>116</v>
      </c>
      <c r="BS19" s="34">
        <v>1</v>
      </c>
      <c r="BT19" s="34">
        <v>0</v>
      </c>
      <c r="BU19" s="34">
        <v>0</v>
      </c>
      <c r="BV19" s="34">
        <v>1</v>
      </c>
      <c r="BW19" s="34">
        <v>2</v>
      </c>
      <c r="BX19" s="34">
        <v>1</v>
      </c>
      <c r="BY19" s="34">
        <v>2</v>
      </c>
      <c r="BZ19" s="34">
        <v>1</v>
      </c>
      <c r="CA19" s="34">
        <v>0</v>
      </c>
      <c r="CB19" s="34">
        <v>1</v>
      </c>
      <c r="CC19" s="34">
        <v>0</v>
      </c>
      <c r="CD19" s="34">
        <v>0</v>
      </c>
      <c r="CE19" s="34">
        <v>1</v>
      </c>
      <c r="CF19" s="34">
        <v>1</v>
      </c>
      <c r="CG19" s="34">
        <v>1</v>
      </c>
      <c r="CH19" s="34" t="s">
        <v>81</v>
      </c>
      <c r="CI19" s="34" t="s">
        <v>81</v>
      </c>
      <c r="CJ19" s="34">
        <v>3</v>
      </c>
      <c r="CK19" s="34" t="s">
        <v>81</v>
      </c>
      <c r="CL19" s="34">
        <v>1</v>
      </c>
      <c r="CM19" s="34">
        <v>1</v>
      </c>
      <c r="CN19" s="34" t="s">
        <v>81</v>
      </c>
      <c r="CO19" s="34" t="s">
        <v>81</v>
      </c>
      <c r="CP19" s="34" t="s">
        <v>81</v>
      </c>
      <c r="CQ19" s="34" t="s">
        <v>81</v>
      </c>
      <c r="CR19" s="34" t="s">
        <v>81</v>
      </c>
      <c r="CS19" s="34">
        <v>225</v>
      </c>
      <c r="CT19" s="35">
        <v>40929</v>
      </c>
      <c r="CU19" s="34">
        <v>6.31</v>
      </c>
      <c r="CV19" s="34">
        <v>105</v>
      </c>
      <c r="CW19" s="34">
        <v>0.5</v>
      </c>
      <c r="CX19" s="34">
        <v>140</v>
      </c>
      <c r="CY19" s="34">
        <v>202</v>
      </c>
      <c r="CZ19" s="34">
        <v>117</v>
      </c>
      <c r="DA19" s="34">
        <v>14</v>
      </c>
      <c r="DB19" s="34">
        <v>174</v>
      </c>
      <c r="DC19" s="34">
        <v>11.2</v>
      </c>
      <c r="DD19" s="34" t="s">
        <v>81</v>
      </c>
      <c r="DE19" s="34">
        <v>1</v>
      </c>
      <c r="DF19" s="34">
        <v>11.2</v>
      </c>
      <c r="DG19" s="34">
        <v>8.8000000000000007</v>
      </c>
      <c r="DH19" s="34">
        <v>638</v>
      </c>
      <c r="DI19" s="34" t="s">
        <v>81</v>
      </c>
      <c r="DJ19" s="34">
        <v>66</v>
      </c>
      <c r="DK19" s="34">
        <v>23</v>
      </c>
      <c r="DL19" s="34">
        <v>139</v>
      </c>
      <c r="DM19" s="34">
        <v>3.8</v>
      </c>
      <c r="DN19" s="34">
        <v>16300</v>
      </c>
      <c r="DO19" s="34">
        <v>82.6</v>
      </c>
      <c r="DP19" s="34" t="s">
        <v>81</v>
      </c>
      <c r="DQ19" s="34">
        <v>113</v>
      </c>
      <c r="DR19" s="34">
        <v>34</v>
      </c>
      <c r="DS19" s="34">
        <v>97</v>
      </c>
      <c r="DT19" s="34">
        <v>226</v>
      </c>
      <c r="DU19" s="34">
        <v>21.8</v>
      </c>
      <c r="DV19" s="34">
        <v>33.6</v>
      </c>
      <c r="DW19" s="34">
        <v>1.79</v>
      </c>
      <c r="DX19" s="34">
        <v>13.9</v>
      </c>
      <c r="DY19" s="34" t="s">
        <v>81</v>
      </c>
      <c r="DZ19" s="34" t="s">
        <v>81</v>
      </c>
      <c r="EA19" s="34">
        <v>0</v>
      </c>
      <c r="EB19" s="34" t="s">
        <v>81</v>
      </c>
      <c r="EC19" s="34" t="s">
        <v>81</v>
      </c>
      <c r="ED19" s="34" t="s">
        <v>81</v>
      </c>
      <c r="EE19" s="34" t="s">
        <v>81</v>
      </c>
      <c r="EF19" s="34" t="s">
        <v>81</v>
      </c>
      <c r="EG19" s="34" t="s">
        <v>81</v>
      </c>
      <c r="EH19" s="34" t="s">
        <v>81</v>
      </c>
      <c r="EI19" s="34">
        <v>0</v>
      </c>
      <c r="EJ19" s="34">
        <v>1</v>
      </c>
      <c r="EK19" s="34" t="s">
        <v>81</v>
      </c>
      <c r="EL19" s="34">
        <v>5</v>
      </c>
      <c r="EM19" s="34">
        <v>0.5</v>
      </c>
      <c r="EN19" s="34">
        <v>0.6</v>
      </c>
      <c r="EO19" s="34">
        <v>0.68</v>
      </c>
      <c r="EP19" s="34" t="s">
        <v>81</v>
      </c>
      <c r="EQ19" s="34" t="s">
        <v>81</v>
      </c>
      <c r="ER19" s="34">
        <v>0.78</v>
      </c>
      <c r="ES19" s="34" t="s">
        <v>81</v>
      </c>
      <c r="ET19" s="34" t="s">
        <v>81</v>
      </c>
      <c r="EU19" s="34" t="s">
        <v>81</v>
      </c>
      <c r="EV19" s="34">
        <v>0.74</v>
      </c>
      <c r="EW19" s="34">
        <v>0.68</v>
      </c>
      <c r="EX19" s="34" t="s">
        <v>81</v>
      </c>
      <c r="EY19" s="34" t="s">
        <v>81</v>
      </c>
      <c r="EZ19" s="34" t="s">
        <v>81</v>
      </c>
      <c r="FA19" s="34" t="s">
        <v>81</v>
      </c>
      <c r="FB19" s="34" t="s">
        <v>81</v>
      </c>
      <c r="FC19" s="34" t="s">
        <v>81</v>
      </c>
      <c r="FD19" s="34" t="s">
        <v>81</v>
      </c>
      <c r="FE19" s="34" t="s">
        <v>81</v>
      </c>
      <c r="FF19" s="34" t="s">
        <v>81</v>
      </c>
      <c r="FG19" s="34" t="s">
        <v>81</v>
      </c>
      <c r="FH19" s="34" t="s">
        <v>81</v>
      </c>
      <c r="FI19" s="34" t="s">
        <v>81</v>
      </c>
      <c r="FJ19" s="34" t="s">
        <v>81</v>
      </c>
      <c r="FK19" s="34" t="s">
        <v>81</v>
      </c>
      <c r="FL19" s="34" t="s">
        <v>81</v>
      </c>
      <c r="FM19" s="34" t="s">
        <v>81</v>
      </c>
      <c r="FN19" s="34" t="s">
        <v>81</v>
      </c>
      <c r="FO19" s="34" t="s">
        <v>81</v>
      </c>
      <c r="FP19" s="34" t="s">
        <v>81</v>
      </c>
      <c r="FQ19" s="34" t="s">
        <v>81</v>
      </c>
      <c r="FR19" s="34" t="s">
        <v>81</v>
      </c>
      <c r="FS19" s="34" t="s">
        <v>81</v>
      </c>
      <c r="FT19" s="34" t="s">
        <v>81</v>
      </c>
      <c r="FU19" s="34" t="s">
        <v>81</v>
      </c>
      <c r="FV19" s="34" t="s">
        <v>81</v>
      </c>
      <c r="FW19" s="34" t="s">
        <v>81</v>
      </c>
      <c r="FX19" s="34" t="s">
        <v>81</v>
      </c>
      <c r="FY19" s="34" t="s">
        <v>81</v>
      </c>
      <c r="FZ19" s="34">
        <v>90</v>
      </c>
      <c r="GA19" s="34">
        <v>97.48</v>
      </c>
    </row>
    <row r="20" spans="1:183" x14ac:dyDescent="0.25">
      <c r="A20" s="34">
        <v>18</v>
      </c>
      <c r="B20" s="4" t="s">
        <v>117</v>
      </c>
      <c r="C20" s="5" t="s">
        <v>725</v>
      </c>
      <c r="D20" s="5" t="s">
        <v>730</v>
      </c>
      <c r="E20" s="34">
        <v>90</v>
      </c>
      <c r="F20" s="34">
        <v>1</v>
      </c>
      <c r="G20" s="34">
        <v>1</v>
      </c>
      <c r="H20" s="34">
        <v>3</v>
      </c>
      <c r="I20" s="34">
        <v>1</v>
      </c>
      <c r="J20" s="35">
        <v>40947</v>
      </c>
      <c r="K20" s="35">
        <v>40949</v>
      </c>
      <c r="L20" s="35">
        <v>19458</v>
      </c>
      <c r="M20" s="34">
        <v>58</v>
      </c>
      <c r="N20" s="34">
        <v>1</v>
      </c>
      <c r="O20" s="34">
        <v>0</v>
      </c>
      <c r="P20" s="34">
        <v>1</v>
      </c>
      <c r="Q20" s="34">
        <v>4</v>
      </c>
      <c r="R20" s="34">
        <v>3</v>
      </c>
      <c r="S20" s="34">
        <v>11</v>
      </c>
      <c r="T20" s="34">
        <v>29</v>
      </c>
      <c r="U20" s="34">
        <v>10.9</v>
      </c>
      <c r="V20" s="34">
        <v>3</v>
      </c>
      <c r="W20" s="34">
        <v>1</v>
      </c>
      <c r="X20" s="34">
        <v>0.88</v>
      </c>
      <c r="Y20" s="34">
        <v>0</v>
      </c>
      <c r="Z20" s="35">
        <v>41128</v>
      </c>
      <c r="AA20" s="34">
        <v>181</v>
      </c>
      <c r="AB20" s="34">
        <v>0</v>
      </c>
      <c r="AC20" s="34">
        <v>0</v>
      </c>
      <c r="AD20" s="34">
        <v>0</v>
      </c>
      <c r="AE20" s="34" t="s">
        <v>81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1</v>
      </c>
      <c r="AM20" s="34">
        <v>1</v>
      </c>
      <c r="AN20" s="34">
        <v>0</v>
      </c>
      <c r="AO20" s="34">
        <v>0</v>
      </c>
      <c r="AP20" s="34">
        <v>0</v>
      </c>
      <c r="AQ20" s="34">
        <v>0</v>
      </c>
      <c r="AR20" s="34">
        <v>0</v>
      </c>
      <c r="AS20" s="34">
        <v>0</v>
      </c>
      <c r="AT20" s="34">
        <v>0</v>
      </c>
      <c r="AU20" s="34">
        <v>0</v>
      </c>
      <c r="AV20" s="34" t="s">
        <v>81</v>
      </c>
      <c r="AW20" s="34" t="s">
        <v>81</v>
      </c>
      <c r="AX20" s="34" t="s">
        <v>81</v>
      </c>
      <c r="AY20" s="34">
        <v>0</v>
      </c>
      <c r="AZ20" s="34" t="s">
        <v>81</v>
      </c>
      <c r="BA20" s="34" t="s">
        <v>81</v>
      </c>
      <c r="BB20" s="34" t="s">
        <v>81</v>
      </c>
      <c r="BC20" s="34" t="s">
        <v>81</v>
      </c>
      <c r="BD20" s="34">
        <v>0</v>
      </c>
      <c r="BE20" s="34">
        <v>0</v>
      </c>
      <c r="BF20" s="34">
        <v>0</v>
      </c>
      <c r="BG20" s="34">
        <v>0</v>
      </c>
      <c r="BH20" s="34">
        <v>0</v>
      </c>
      <c r="BI20" s="34">
        <v>0</v>
      </c>
      <c r="BJ20" s="34" t="s">
        <v>81</v>
      </c>
      <c r="BK20" s="34" t="s">
        <v>81</v>
      </c>
      <c r="BL20" s="34" t="s">
        <v>81</v>
      </c>
      <c r="BM20" s="34">
        <v>135</v>
      </c>
      <c r="BN20" s="34">
        <v>80</v>
      </c>
      <c r="BO20" s="34" t="s">
        <v>81</v>
      </c>
      <c r="BP20" s="34">
        <v>70</v>
      </c>
      <c r="BQ20" s="34">
        <v>357</v>
      </c>
      <c r="BR20" s="34" t="s">
        <v>81</v>
      </c>
      <c r="BS20" s="34">
        <v>1</v>
      </c>
      <c r="BT20" s="34">
        <v>0</v>
      </c>
      <c r="BU20" s="34" t="s">
        <v>81</v>
      </c>
      <c r="BV20" s="34">
        <v>0</v>
      </c>
      <c r="BW20" s="34">
        <v>1</v>
      </c>
      <c r="BX20" s="34">
        <v>0</v>
      </c>
      <c r="BY20" s="34">
        <v>1</v>
      </c>
      <c r="BZ20" s="34">
        <v>1</v>
      </c>
      <c r="CA20" s="34">
        <v>0</v>
      </c>
      <c r="CB20" s="34">
        <v>1</v>
      </c>
      <c r="CC20" s="34">
        <v>0</v>
      </c>
      <c r="CD20" s="34">
        <v>0</v>
      </c>
      <c r="CE20" s="34">
        <v>1</v>
      </c>
      <c r="CF20" s="34">
        <v>1</v>
      </c>
      <c r="CG20" s="34">
        <v>1</v>
      </c>
      <c r="CH20" s="34" t="s">
        <v>81</v>
      </c>
      <c r="CI20" s="34" t="s">
        <v>81</v>
      </c>
      <c r="CJ20" s="34">
        <v>3</v>
      </c>
      <c r="CK20" s="34" t="s">
        <v>81</v>
      </c>
      <c r="CL20" s="34">
        <v>1</v>
      </c>
      <c r="CM20" s="34">
        <v>1</v>
      </c>
      <c r="CN20" s="34" t="s">
        <v>81</v>
      </c>
      <c r="CO20" s="34" t="s">
        <v>81</v>
      </c>
      <c r="CP20" s="34" t="s">
        <v>81</v>
      </c>
      <c r="CQ20" s="34" t="s">
        <v>81</v>
      </c>
      <c r="CR20" s="34" t="s">
        <v>81</v>
      </c>
      <c r="CS20" s="34" t="s">
        <v>81</v>
      </c>
      <c r="CT20" s="35">
        <v>40947</v>
      </c>
      <c r="CU20" s="34">
        <v>2.63</v>
      </c>
      <c r="CV20" s="34">
        <v>106</v>
      </c>
      <c r="CW20" s="34">
        <v>1.39</v>
      </c>
      <c r="CX20" s="34">
        <v>86</v>
      </c>
      <c r="CY20" s="34">
        <v>136</v>
      </c>
      <c r="CZ20" s="34">
        <v>230</v>
      </c>
      <c r="DA20" s="34">
        <v>2</v>
      </c>
      <c r="DB20" s="34">
        <v>475</v>
      </c>
      <c r="DC20" s="34">
        <v>31.5</v>
      </c>
      <c r="DD20" s="34" t="s">
        <v>81</v>
      </c>
      <c r="DE20" s="34">
        <v>1.39</v>
      </c>
      <c r="DF20" s="34">
        <v>31.5</v>
      </c>
      <c r="DG20" s="34">
        <v>25.2</v>
      </c>
      <c r="DH20" s="34">
        <v>376</v>
      </c>
      <c r="DI20" s="34" t="s">
        <v>81</v>
      </c>
      <c r="DJ20" s="34">
        <v>60</v>
      </c>
      <c r="DK20" s="34">
        <v>23</v>
      </c>
      <c r="DL20" s="34">
        <v>130</v>
      </c>
      <c r="DM20" s="34">
        <v>2.5</v>
      </c>
      <c r="DN20" s="34">
        <v>10000</v>
      </c>
      <c r="DO20" s="34">
        <v>77.599999999999994</v>
      </c>
      <c r="DP20" s="34" t="s">
        <v>81</v>
      </c>
      <c r="DQ20" s="34">
        <v>142</v>
      </c>
      <c r="DR20" s="34">
        <v>42</v>
      </c>
      <c r="DS20" s="34">
        <v>101</v>
      </c>
      <c r="DT20" s="34">
        <v>119</v>
      </c>
      <c r="DU20" s="34">
        <v>22.1</v>
      </c>
      <c r="DV20" s="34">
        <v>33.1</v>
      </c>
      <c r="DW20" s="34">
        <v>1.82</v>
      </c>
      <c r="DX20" s="34">
        <v>25.8</v>
      </c>
      <c r="DY20" s="34" t="s">
        <v>81</v>
      </c>
      <c r="DZ20" s="34" t="s">
        <v>81</v>
      </c>
      <c r="EA20" s="34">
        <v>0</v>
      </c>
      <c r="EB20" s="34" t="s">
        <v>81</v>
      </c>
      <c r="EC20" s="34" t="s">
        <v>81</v>
      </c>
      <c r="ED20" s="34" t="s">
        <v>81</v>
      </c>
      <c r="EE20" s="34" t="s">
        <v>81</v>
      </c>
      <c r="EF20" s="34" t="s">
        <v>81</v>
      </c>
      <c r="EG20" s="34" t="s">
        <v>81</v>
      </c>
      <c r="EH20" s="34" t="s">
        <v>81</v>
      </c>
      <c r="EI20" s="34">
        <v>0</v>
      </c>
      <c r="EJ20" s="34">
        <v>1</v>
      </c>
      <c r="EK20" s="34" t="s">
        <v>81</v>
      </c>
      <c r="EL20" s="34">
        <v>5</v>
      </c>
      <c r="EM20" s="34">
        <v>1.39</v>
      </c>
      <c r="EN20" s="34" t="s">
        <v>81</v>
      </c>
      <c r="EO20" s="34">
        <v>1.1299999999999999</v>
      </c>
      <c r="EP20" s="34">
        <v>0.76</v>
      </c>
      <c r="EQ20" s="34" t="s">
        <v>81</v>
      </c>
      <c r="ER20" s="34">
        <v>1.1499999999999999</v>
      </c>
      <c r="ES20" s="34">
        <v>1.3</v>
      </c>
      <c r="ET20" s="34">
        <v>1.24</v>
      </c>
      <c r="EU20" s="34">
        <v>1.04</v>
      </c>
      <c r="EV20" s="34">
        <v>1.1399999999999999</v>
      </c>
      <c r="EW20" s="34" t="s">
        <v>81</v>
      </c>
      <c r="EX20" s="34" t="s">
        <v>81</v>
      </c>
      <c r="EY20" s="34" t="s">
        <v>81</v>
      </c>
      <c r="EZ20" s="34">
        <v>0.9</v>
      </c>
      <c r="FA20" s="34" t="s">
        <v>81</v>
      </c>
      <c r="FB20" s="34" t="s">
        <v>81</v>
      </c>
      <c r="FC20" s="34" t="s">
        <v>81</v>
      </c>
      <c r="FD20" s="34" t="s">
        <v>81</v>
      </c>
      <c r="FE20" s="34" t="s">
        <v>81</v>
      </c>
      <c r="FF20" s="34" t="s">
        <v>81</v>
      </c>
      <c r="FG20" s="34" t="s">
        <v>81</v>
      </c>
      <c r="FH20" s="34" t="s">
        <v>81</v>
      </c>
      <c r="FI20" s="34" t="s">
        <v>81</v>
      </c>
      <c r="FJ20" s="34" t="s">
        <v>81</v>
      </c>
      <c r="FK20" s="34" t="s">
        <v>81</v>
      </c>
      <c r="FL20" s="34" t="s">
        <v>81</v>
      </c>
      <c r="FM20" s="34" t="s">
        <v>81</v>
      </c>
      <c r="FN20" s="34" t="s">
        <v>81</v>
      </c>
      <c r="FO20" s="34" t="s">
        <v>81</v>
      </c>
      <c r="FP20" s="34" t="s">
        <v>81</v>
      </c>
      <c r="FQ20" s="34" t="s">
        <v>81</v>
      </c>
      <c r="FR20" s="34" t="s">
        <v>81</v>
      </c>
      <c r="FS20" s="34" t="s">
        <v>81</v>
      </c>
      <c r="FT20" s="34" t="s">
        <v>81</v>
      </c>
      <c r="FU20" s="34" t="s">
        <v>81</v>
      </c>
      <c r="FV20" s="34" t="s">
        <v>81</v>
      </c>
      <c r="FW20" s="34" t="s">
        <v>81</v>
      </c>
      <c r="FX20" s="34" t="s">
        <v>81</v>
      </c>
      <c r="FY20" s="34" t="s">
        <v>81</v>
      </c>
      <c r="FZ20" s="34">
        <v>90</v>
      </c>
      <c r="GA20" s="34">
        <v>119.16</v>
      </c>
    </row>
    <row r="21" spans="1:183" x14ac:dyDescent="0.25">
      <c r="A21" s="34">
        <v>19</v>
      </c>
      <c r="B21" s="4" t="s">
        <v>119</v>
      </c>
      <c r="C21" s="5" t="s">
        <v>732</v>
      </c>
      <c r="D21" s="5" t="s">
        <v>732</v>
      </c>
      <c r="E21" s="34">
        <v>90</v>
      </c>
      <c r="F21" s="34">
        <v>1</v>
      </c>
      <c r="G21" s="34">
        <v>2</v>
      </c>
      <c r="H21" s="34">
        <v>1</v>
      </c>
      <c r="I21" s="34">
        <v>1</v>
      </c>
      <c r="J21" s="35">
        <v>40260</v>
      </c>
      <c r="K21" s="35">
        <v>40264</v>
      </c>
      <c r="L21" s="35">
        <v>23378</v>
      </c>
      <c r="M21" s="34">
        <v>46</v>
      </c>
      <c r="N21" s="34">
        <v>2</v>
      </c>
      <c r="O21" s="34">
        <v>0</v>
      </c>
      <c r="P21" s="34">
        <v>0</v>
      </c>
      <c r="Q21" s="34">
        <v>3</v>
      </c>
      <c r="R21" s="34">
        <v>2</v>
      </c>
      <c r="S21" s="34">
        <v>9</v>
      </c>
      <c r="T21" s="34">
        <v>12</v>
      </c>
      <c r="U21" s="34">
        <v>5.94</v>
      </c>
      <c r="V21" s="34">
        <v>1</v>
      </c>
      <c r="W21" s="34">
        <v>1</v>
      </c>
      <c r="X21" s="34">
        <v>0.11</v>
      </c>
      <c r="Y21" s="34">
        <v>1</v>
      </c>
      <c r="Z21" s="35">
        <v>41081</v>
      </c>
      <c r="AA21" s="34">
        <v>821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1</v>
      </c>
      <c r="AI21" s="34">
        <v>1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  <c r="AR21" s="34">
        <v>0</v>
      </c>
      <c r="AS21" s="34">
        <v>0</v>
      </c>
      <c r="AT21" s="34" t="s">
        <v>81</v>
      </c>
      <c r="AU21" s="34">
        <v>0</v>
      </c>
      <c r="AV21" s="34" t="s">
        <v>81</v>
      </c>
      <c r="AW21" s="34" t="s">
        <v>81</v>
      </c>
      <c r="AX21" s="34" t="s">
        <v>81</v>
      </c>
      <c r="AY21" s="34">
        <v>0</v>
      </c>
      <c r="AZ21" s="34" t="s">
        <v>81</v>
      </c>
      <c r="BA21" s="34" t="s">
        <v>81</v>
      </c>
      <c r="BB21" s="34" t="s">
        <v>81</v>
      </c>
      <c r="BC21" s="34" t="s">
        <v>81</v>
      </c>
      <c r="BD21" s="34">
        <v>0</v>
      </c>
      <c r="BE21" s="34">
        <v>0</v>
      </c>
      <c r="BF21" s="34">
        <v>0</v>
      </c>
      <c r="BG21" s="34">
        <v>0</v>
      </c>
      <c r="BH21" s="34">
        <v>0</v>
      </c>
      <c r="BI21" s="34">
        <v>0</v>
      </c>
      <c r="BJ21" s="34" t="s">
        <v>81</v>
      </c>
      <c r="BK21" s="34" t="s">
        <v>81</v>
      </c>
      <c r="BL21" s="34" t="s">
        <v>81</v>
      </c>
      <c r="BM21" s="34">
        <v>95</v>
      </c>
      <c r="BN21" s="34">
        <v>65</v>
      </c>
      <c r="BO21" s="34">
        <v>0</v>
      </c>
      <c r="BP21" s="34">
        <v>76</v>
      </c>
      <c r="BQ21" s="34">
        <v>0</v>
      </c>
      <c r="BR21" s="34" t="s">
        <v>81</v>
      </c>
      <c r="BS21" s="34">
        <v>1</v>
      </c>
      <c r="BT21" s="34">
        <v>0</v>
      </c>
      <c r="BU21" s="34">
        <v>0</v>
      </c>
      <c r="BV21" s="34">
        <v>0</v>
      </c>
      <c r="BW21" s="34">
        <v>1</v>
      </c>
      <c r="BX21" s="34">
        <v>0</v>
      </c>
      <c r="BY21" s="34">
        <v>1</v>
      </c>
      <c r="BZ21" s="34">
        <v>0</v>
      </c>
      <c r="CA21" s="34">
        <v>0</v>
      </c>
      <c r="CB21" s="34">
        <v>1</v>
      </c>
      <c r="CC21" s="34">
        <v>0</v>
      </c>
      <c r="CD21" s="34">
        <v>0</v>
      </c>
      <c r="CE21" s="34">
        <v>0</v>
      </c>
      <c r="CF21" s="34">
        <v>0</v>
      </c>
      <c r="CG21" s="34">
        <v>0</v>
      </c>
      <c r="CH21" s="34" t="s">
        <v>81</v>
      </c>
      <c r="CI21" s="34" t="s">
        <v>81</v>
      </c>
      <c r="CJ21" s="34">
        <v>1</v>
      </c>
      <c r="CK21" s="34" t="s">
        <v>81</v>
      </c>
      <c r="CL21" s="34">
        <v>0</v>
      </c>
      <c r="CM21" s="34">
        <v>0</v>
      </c>
      <c r="CN21" s="34" t="s">
        <v>81</v>
      </c>
      <c r="CO21" s="34" t="s">
        <v>81</v>
      </c>
      <c r="CP21" s="34" t="s">
        <v>81</v>
      </c>
      <c r="CQ21" s="34" t="s">
        <v>81</v>
      </c>
      <c r="CR21" s="34" t="s">
        <v>81</v>
      </c>
      <c r="CS21" s="34">
        <v>19</v>
      </c>
      <c r="CT21" s="35">
        <v>40261</v>
      </c>
      <c r="CU21" s="34" t="s">
        <v>81</v>
      </c>
      <c r="CV21" s="34">
        <v>91</v>
      </c>
      <c r="CW21" s="34">
        <v>0.6</v>
      </c>
      <c r="CX21" s="34">
        <v>125</v>
      </c>
      <c r="CY21" s="34">
        <v>93</v>
      </c>
      <c r="CZ21" s="34">
        <v>276</v>
      </c>
      <c r="DA21" s="34">
        <v>69</v>
      </c>
      <c r="DB21" s="34">
        <v>1330</v>
      </c>
      <c r="DC21" s="34">
        <v>2.7</v>
      </c>
      <c r="DD21" s="34" t="s">
        <v>81</v>
      </c>
      <c r="DE21" s="34">
        <v>1</v>
      </c>
      <c r="DF21" s="34">
        <v>2.7</v>
      </c>
      <c r="DG21" s="34" t="s">
        <v>81</v>
      </c>
      <c r="DH21" s="34">
        <v>683</v>
      </c>
      <c r="DI21" s="34" t="s">
        <v>81</v>
      </c>
      <c r="DJ21" s="34" t="s">
        <v>81</v>
      </c>
      <c r="DK21" s="34">
        <v>24</v>
      </c>
      <c r="DL21" s="34">
        <v>133</v>
      </c>
      <c r="DM21" s="34">
        <v>4.0999999999999996</v>
      </c>
      <c r="DN21" s="34">
        <v>5400</v>
      </c>
      <c r="DO21" s="34">
        <v>74</v>
      </c>
      <c r="DP21" s="34" t="s">
        <v>81</v>
      </c>
      <c r="DQ21" s="34">
        <v>97</v>
      </c>
      <c r="DR21" s="34">
        <v>29</v>
      </c>
      <c r="DS21" s="34">
        <v>1170</v>
      </c>
      <c r="DT21" s="34">
        <v>210</v>
      </c>
      <c r="DU21" s="34">
        <v>13.3</v>
      </c>
      <c r="DV21" s="34">
        <v>72.7</v>
      </c>
      <c r="DW21" s="34">
        <v>1.18</v>
      </c>
      <c r="DX21" s="34">
        <v>1.1000000000000001</v>
      </c>
      <c r="DY21" s="34" t="s">
        <v>81</v>
      </c>
      <c r="DZ21" s="34" t="s">
        <v>81</v>
      </c>
      <c r="EA21" s="34">
        <v>0</v>
      </c>
      <c r="EB21" s="34">
        <v>63.88</v>
      </c>
      <c r="EC21" s="34">
        <v>3</v>
      </c>
      <c r="ED21" s="34">
        <v>0</v>
      </c>
      <c r="EE21" s="34">
        <v>1</v>
      </c>
      <c r="EF21" s="34">
        <v>0</v>
      </c>
      <c r="EG21" s="34">
        <v>4</v>
      </c>
      <c r="EH21" s="34">
        <v>2</v>
      </c>
      <c r="EI21" s="34" t="s">
        <v>81</v>
      </c>
      <c r="EJ21" s="34">
        <v>0</v>
      </c>
      <c r="EK21" s="34" t="s">
        <v>81</v>
      </c>
      <c r="EL21" s="34" t="s">
        <v>81</v>
      </c>
      <c r="EM21" s="34">
        <v>0.5</v>
      </c>
      <c r="EN21" s="34">
        <v>0.6</v>
      </c>
      <c r="EO21" s="34" t="s">
        <v>81</v>
      </c>
      <c r="EP21" s="34" t="s">
        <v>81</v>
      </c>
      <c r="EQ21" s="34">
        <v>0.6</v>
      </c>
      <c r="ER21" s="34" t="s">
        <v>81</v>
      </c>
      <c r="ES21" s="34">
        <v>0.61</v>
      </c>
      <c r="ET21" s="34" t="s">
        <v>81</v>
      </c>
      <c r="EU21" s="34">
        <v>0.6</v>
      </c>
      <c r="EV21" s="34" t="s">
        <v>81</v>
      </c>
      <c r="EW21" s="34" t="s">
        <v>81</v>
      </c>
      <c r="EX21" s="34" t="s">
        <v>81</v>
      </c>
      <c r="EY21" s="34" t="s">
        <v>81</v>
      </c>
      <c r="EZ21" s="34" t="s">
        <v>81</v>
      </c>
      <c r="FA21" s="34" t="s">
        <v>81</v>
      </c>
      <c r="FB21" s="34" t="s">
        <v>81</v>
      </c>
      <c r="FC21" s="34" t="s">
        <v>81</v>
      </c>
      <c r="FD21" s="34" t="s">
        <v>81</v>
      </c>
      <c r="FE21" s="34" t="s">
        <v>81</v>
      </c>
      <c r="FF21" s="34" t="s">
        <v>81</v>
      </c>
      <c r="FG21" s="34" t="s">
        <v>81</v>
      </c>
      <c r="FH21" s="34" t="s">
        <v>81</v>
      </c>
      <c r="FI21" s="34" t="s">
        <v>81</v>
      </c>
      <c r="FJ21" s="34" t="s">
        <v>81</v>
      </c>
      <c r="FK21" s="34" t="s">
        <v>81</v>
      </c>
      <c r="FL21" s="34" t="s">
        <v>81</v>
      </c>
      <c r="FM21" s="34" t="s">
        <v>81</v>
      </c>
      <c r="FN21" s="34" t="s">
        <v>81</v>
      </c>
      <c r="FO21" s="34" t="s">
        <v>81</v>
      </c>
      <c r="FP21" s="34" t="s">
        <v>81</v>
      </c>
      <c r="FQ21" s="34" t="s">
        <v>81</v>
      </c>
      <c r="FR21" s="34" t="s">
        <v>81</v>
      </c>
      <c r="FS21" s="34" t="s">
        <v>81</v>
      </c>
      <c r="FT21" s="34" t="s">
        <v>81</v>
      </c>
      <c r="FU21" s="34" t="s">
        <v>81</v>
      </c>
      <c r="FV21" s="34" t="s">
        <v>81</v>
      </c>
      <c r="FW21" s="34" t="s">
        <v>81</v>
      </c>
      <c r="FX21" s="34" t="s">
        <v>81</v>
      </c>
      <c r="FY21" s="34" t="s">
        <v>81</v>
      </c>
      <c r="FZ21" s="34">
        <v>90</v>
      </c>
      <c r="GA21" s="34">
        <v>49.88</v>
      </c>
    </row>
    <row r="22" spans="1:183" x14ac:dyDescent="0.25">
      <c r="A22" s="34">
        <v>20</v>
      </c>
      <c r="B22" s="4" t="s">
        <v>121</v>
      </c>
      <c r="C22" s="5" t="s">
        <v>732</v>
      </c>
      <c r="D22" s="5" t="s">
        <v>732</v>
      </c>
      <c r="E22" s="34">
        <v>90</v>
      </c>
      <c r="F22" s="34">
        <v>1</v>
      </c>
      <c r="G22" s="34">
        <v>2</v>
      </c>
      <c r="H22" s="34">
        <v>1</v>
      </c>
      <c r="I22" s="34">
        <v>1</v>
      </c>
      <c r="J22" s="35">
        <v>40314</v>
      </c>
      <c r="K22" s="35">
        <v>40331</v>
      </c>
      <c r="L22" s="35">
        <v>23532</v>
      </c>
      <c r="M22" s="34">
        <v>46</v>
      </c>
      <c r="N22" s="34">
        <v>1</v>
      </c>
      <c r="O22" s="34">
        <v>1</v>
      </c>
      <c r="P22" s="34">
        <v>0</v>
      </c>
      <c r="Q22" s="34">
        <v>3</v>
      </c>
      <c r="R22" s="34">
        <v>1</v>
      </c>
      <c r="S22" s="34">
        <v>6</v>
      </c>
      <c r="T22" s="34">
        <v>11</v>
      </c>
      <c r="U22" s="34">
        <v>5.09</v>
      </c>
      <c r="V22" s="34">
        <v>1</v>
      </c>
      <c r="W22" s="34">
        <v>0</v>
      </c>
      <c r="X22" s="34" t="s">
        <v>81</v>
      </c>
      <c r="Y22" s="34" t="s">
        <v>81</v>
      </c>
      <c r="Z22" s="35">
        <v>41151</v>
      </c>
      <c r="AA22" s="34">
        <v>837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  <c r="AR22" s="34">
        <v>0</v>
      </c>
      <c r="AS22" s="34">
        <v>0</v>
      </c>
      <c r="AT22" s="34" t="s">
        <v>81</v>
      </c>
      <c r="AU22" s="34">
        <v>0</v>
      </c>
      <c r="AV22" s="34" t="s">
        <v>81</v>
      </c>
      <c r="AW22" s="34" t="s">
        <v>81</v>
      </c>
      <c r="AX22" s="34" t="s">
        <v>81</v>
      </c>
      <c r="AY22" s="34">
        <v>0</v>
      </c>
      <c r="AZ22" s="34" t="s">
        <v>81</v>
      </c>
      <c r="BA22" s="34" t="s">
        <v>81</v>
      </c>
      <c r="BB22" s="34" t="s">
        <v>81</v>
      </c>
      <c r="BC22" s="34" t="s">
        <v>81</v>
      </c>
      <c r="BD22" s="34">
        <v>0</v>
      </c>
      <c r="BE22" s="34">
        <v>0</v>
      </c>
      <c r="BF22" s="34">
        <v>0</v>
      </c>
      <c r="BG22" s="34">
        <v>0</v>
      </c>
      <c r="BH22" s="34">
        <v>0</v>
      </c>
      <c r="BI22" s="34">
        <v>0</v>
      </c>
      <c r="BJ22" s="34">
        <v>0</v>
      </c>
      <c r="BK22" s="34" t="s">
        <v>81</v>
      </c>
      <c r="BL22" s="34" t="s">
        <v>81</v>
      </c>
      <c r="BM22" s="34">
        <v>122</v>
      </c>
      <c r="BN22" s="34">
        <v>79</v>
      </c>
      <c r="BO22" s="34" t="s">
        <v>81</v>
      </c>
      <c r="BP22" s="34">
        <v>105</v>
      </c>
      <c r="BQ22" s="34">
        <v>36.299999999999997</v>
      </c>
      <c r="BR22" s="34" t="s">
        <v>81</v>
      </c>
      <c r="BS22" s="34">
        <v>0</v>
      </c>
      <c r="BT22" s="34">
        <v>1</v>
      </c>
      <c r="BU22" s="34" t="s">
        <v>81</v>
      </c>
      <c r="BV22" s="34">
        <v>1</v>
      </c>
      <c r="BW22" s="34">
        <v>2</v>
      </c>
      <c r="BX22" s="34">
        <v>1</v>
      </c>
      <c r="BY22" s="34">
        <v>2</v>
      </c>
      <c r="BZ22" s="34">
        <v>1</v>
      </c>
      <c r="CA22" s="34">
        <v>0</v>
      </c>
      <c r="CB22" s="34">
        <v>1</v>
      </c>
      <c r="CC22" s="34">
        <v>0</v>
      </c>
      <c r="CD22" s="34">
        <v>0</v>
      </c>
      <c r="CE22" s="34">
        <v>0</v>
      </c>
      <c r="CF22" s="34">
        <v>0</v>
      </c>
      <c r="CG22" s="34">
        <v>0</v>
      </c>
      <c r="CH22" s="34" t="s">
        <v>81</v>
      </c>
      <c r="CI22" s="34" t="s">
        <v>81</v>
      </c>
      <c r="CJ22" s="34">
        <v>2</v>
      </c>
      <c r="CK22" s="34" t="s">
        <v>81</v>
      </c>
      <c r="CL22" s="34">
        <v>1</v>
      </c>
      <c r="CM22" s="34">
        <v>0</v>
      </c>
      <c r="CN22" s="34" t="s">
        <v>81</v>
      </c>
      <c r="CO22" s="34" t="s">
        <v>81</v>
      </c>
      <c r="CP22" s="34" t="s">
        <v>81</v>
      </c>
      <c r="CQ22" s="34" t="s">
        <v>81</v>
      </c>
      <c r="CR22" s="34" t="s">
        <v>81</v>
      </c>
      <c r="CS22" s="34">
        <v>9</v>
      </c>
      <c r="CT22" s="35">
        <v>40314</v>
      </c>
      <c r="CU22" s="34" t="s">
        <v>81</v>
      </c>
      <c r="CV22" s="34">
        <v>131</v>
      </c>
      <c r="CW22" s="34">
        <v>0.9</v>
      </c>
      <c r="CX22" s="34">
        <v>72</v>
      </c>
      <c r="CY22" s="34">
        <v>96</v>
      </c>
      <c r="CZ22" s="34">
        <v>26</v>
      </c>
      <c r="DA22" s="34">
        <v>8</v>
      </c>
      <c r="DB22" s="34">
        <v>171</v>
      </c>
      <c r="DC22" s="34">
        <v>1.7</v>
      </c>
      <c r="DD22" s="34" t="s">
        <v>81</v>
      </c>
      <c r="DE22" s="34">
        <v>1</v>
      </c>
      <c r="DF22" s="34">
        <v>1.7</v>
      </c>
      <c r="DG22" s="34" t="s">
        <v>81</v>
      </c>
      <c r="DH22" s="34">
        <v>138</v>
      </c>
      <c r="DI22" s="34" t="s">
        <v>81</v>
      </c>
      <c r="DJ22" s="34" t="s">
        <v>81</v>
      </c>
      <c r="DK22" s="34">
        <v>29</v>
      </c>
      <c r="DL22" s="34">
        <v>133</v>
      </c>
      <c r="DM22" s="34">
        <v>4.0999999999999996</v>
      </c>
      <c r="DN22" s="34">
        <v>3900</v>
      </c>
      <c r="DO22" s="34">
        <v>62</v>
      </c>
      <c r="DP22" s="34" t="s">
        <v>81</v>
      </c>
      <c r="DQ22" s="34">
        <v>37</v>
      </c>
      <c r="DR22" s="34">
        <v>10</v>
      </c>
      <c r="DS22" s="34">
        <v>1210</v>
      </c>
      <c r="DT22" s="34">
        <v>90</v>
      </c>
      <c r="DU22" s="34">
        <v>13.3</v>
      </c>
      <c r="DV22" s="34">
        <v>66.8</v>
      </c>
      <c r="DW22" s="34">
        <v>1.25</v>
      </c>
      <c r="DX22" s="34">
        <v>1</v>
      </c>
      <c r="DY22" s="34" t="s">
        <v>81</v>
      </c>
      <c r="DZ22" s="34" t="s">
        <v>81</v>
      </c>
      <c r="EA22" s="34">
        <v>0</v>
      </c>
      <c r="EB22" s="34">
        <v>62.88</v>
      </c>
      <c r="EC22" s="34">
        <v>2</v>
      </c>
      <c r="ED22" s="34">
        <v>0</v>
      </c>
      <c r="EE22" s="34">
        <v>1</v>
      </c>
      <c r="EF22" s="34">
        <v>0</v>
      </c>
      <c r="EG22" s="34">
        <v>3</v>
      </c>
      <c r="EH22" s="34">
        <v>2</v>
      </c>
      <c r="EI22" s="34" t="s">
        <v>81</v>
      </c>
      <c r="EJ22" s="34">
        <v>1</v>
      </c>
      <c r="EK22" s="34" t="s">
        <v>81</v>
      </c>
      <c r="EL22" s="34" t="s">
        <v>81</v>
      </c>
      <c r="EM22" s="34">
        <v>0.9</v>
      </c>
      <c r="EN22" s="34">
        <v>0.9</v>
      </c>
      <c r="EO22" s="34">
        <v>0.8</v>
      </c>
      <c r="EP22" s="34">
        <v>0.68</v>
      </c>
      <c r="EQ22" s="34">
        <v>0.67</v>
      </c>
      <c r="ER22" s="34">
        <v>0.71</v>
      </c>
      <c r="ES22" s="34">
        <v>0.7</v>
      </c>
      <c r="ET22" s="34" t="s">
        <v>81</v>
      </c>
      <c r="EU22" s="34" t="s">
        <v>81</v>
      </c>
      <c r="EV22" s="34">
        <v>0.71</v>
      </c>
      <c r="EW22" s="34">
        <v>0.8</v>
      </c>
      <c r="EX22" s="34">
        <v>1.04</v>
      </c>
      <c r="EY22" s="34">
        <v>0.91</v>
      </c>
      <c r="EZ22" s="34">
        <v>0.9</v>
      </c>
      <c r="FA22" s="34" t="s">
        <v>81</v>
      </c>
      <c r="FB22" s="34">
        <v>0.9</v>
      </c>
      <c r="FC22" s="34" t="s">
        <v>81</v>
      </c>
      <c r="FD22" s="34" t="s">
        <v>81</v>
      </c>
      <c r="FE22" s="34">
        <v>0.98</v>
      </c>
      <c r="FF22" s="34" t="s">
        <v>81</v>
      </c>
      <c r="FG22" s="34" t="s">
        <v>81</v>
      </c>
      <c r="FH22" s="34" t="s">
        <v>81</v>
      </c>
      <c r="FI22" s="34">
        <v>1.38</v>
      </c>
      <c r="FJ22" s="34" t="s">
        <v>81</v>
      </c>
      <c r="FK22" s="34" t="s">
        <v>81</v>
      </c>
      <c r="FL22" s="34">
        <v>1.1200000000000001</v>
      </c>
      <c r="FM22" s="34" t="s">
        <v>81</v>
      </c>
      <c r="FN22" s="34" t="s">
        <v>81</v>
      </c>
      <c r="FO22" s="34" t="s">
        <v>81</v>
      </c>
      <c r="FP22" s="34">
        <v>1.39</v>
      </c>
      <c r="FQ22" s="34" t="s">
        <v>81</v>
      </c>
      <c r="FR22" s="34" t="s">
        <v>81</v>
      </c>
      <c r="FS22" s="34">
        <v>1.18</v>
      </c>
      <c r="FT22" s="34" t="s">
        <v>81</v>
      </c>
      <c r="FU22" s="34" t="s">
        <v>81</v>
      </c>
      <c r="FV22" s="34" t="s">
        <v>81</v>
      </c>
      <c r="FW22" s="34">
        <v>1.1399999999999999</v>
      </c>
      <c r="FX22" s="34" t="s">
        <v>81</v>
      </c>
      <c r="FY22" s="34" t="s">
        <v>81</v>
      </c>
      <c r="FZ22" s="34">
        <v>90</v>
      </c>
      <c r="GA22" s="34">
        <v>48.88</v>
      </c>
    </row>
    <row r="23" spans="1:183" x14ac:dyDescent="0.25">
      <c r="A23" s="34">
        <v>21</v>
      </c>
      <c r="B23" s="4" t="s">
        <v>122</v>
      </c>
      <c r="C23" s="5" t="s">
        <v>732</v>
      </c>
      <c r="D23" s="5" t="s">
        <v>732</v>
      </c>
      <c r="E23" s="34">
        <v>90</v>
      </c>
      <c r="F23" s="34">
        <v>1</v>
      </c>
      <c r="G23" s="34">
        <v>2</v>
      </c>
      <c r="H23" s="34">
        <v>1</v>
      </c>
      <c r="I23" s="34">
        <v>1</v>
      </c>
      <c r="J23" s="35">
        <v>40231</v>
      </c>
      <c r="K23" s="35">
        <v>40234</v>
      </c>
      <c r="L23" s="35">
        <v>21046</v>
      </c>
      <c r="M23" s="34">
        <v>52</v>
      </c>
      <c r="N23" s="34">
        <v>1</v>
      </c>
      <c r="O23" s="34">
        <v>0</v>
      </c>
      <c r="P23" s="34">
        <v>1</v>
      </c>
      <c r="Q23" s="34">
        <v>4</v>
      </c>
      <c r="R23" s="34">
        <v>2</v>
      </c>
      <c r="S23" s="34">
        <v>7</v>
      </c>
      <c r="T23" s="34">
        <v>10</v>
      </c>
      <c r="U23" s="34">
        <v>6.68</v>
      </c>
      <c r="V23" s="34">
        <v>1</v>
      </c>
      <c r="W23" s="34">
        <v>0</v>
      </c>
      <c r="X23" s="34" t="s">
        <v>81</v>
      </c>
      <c r="Y23" s="34" t="s">
        <v>81</v>
      </c>
      <c r="Z23" s="35">
        <v>41169</v>
      </c>
      <c r="AA23" s="34">
        <v>938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1</v>
      </c>
      <c r="AI23" s="34">
        <v>1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1</v>
      </c>
      <c r="AR23" s="34">
        <v>2</v>
      </c>
      <c r="AS23" s="34">
        <v>0</v>
      </c>
      <c r="AT23" s="34" t="s">
        <v>81</v>
      </c>
      <c r="AU23" s="34">
        <v>0</v>
      </c>
      <c r="AV23" s="34" t="s">
        <v>81</v>
      </c>
      <c r="AW23" s="34" t="s">
        <v>81</v>
      </c>
      <c r="AX23" s="34" t="s">
        <v>81</v>
      </c>
      <c r="AY23" s="34">
        <v>0</v>
      </c>
      <c r="AZ23" s="34" t="s">
        <v>81</v>
      </c>
      <c r="BA23" s="34" t="s">
        <v>81</v>
      </c>
      <c r="BB23" s="34" t="s">
        <v>81</v>
      </c>
      <c r="BC23" s="34" t="s">
        <v>81</v>
      </c>
      <c r="BD23" s="34">
        <v>0</v>
      </c>
      <c r="BE23" s="34">
        <v>0</v>
      </c>
      <c r="BF23" s="34">
        <v>0</v>
      </c>
      <c r="BG23" s="34">
        <v>0</v>
      </c>
      <c r="BH23" s="34">
        <v>0</v>
      </c>
      <c r="BI23" s="34">
        <v>0</v>
      </c>
      <c r="BJ23" s="34" t="s">
        <v>81</v>
      </c>
      <c r="BK23" s="34" t="s">
        <v>81</v>
      </c>
      <c r="BL23" s="34" t="s">
        <v>81</v>
      </c>
      <c r="BM23" s="34">
        <v>176</v>
      </c>
      <c r="BN23" s="34">
        <v>80</v>
      </c>
      <c r="BO23" s="34">
        <v>24</v>
      </c>
      <c r="BP23" s="34">
        <v>97</v>
      </c>
      <c r="BQ23" s="34">
        <v>36.200000000000003</v>
      </c>
      <c r="BR23" s="34" t="s">
        <v>81</v>
      </c>
      <c r="BS23" s="34">
        <v>0</v>
      </c>
      <c r="BT23" s="34">
        <v>1</v>
      </c>
      <c r="BU23" s="34">
        <v>1</v>
      </c>
      <c r="BV23" s="34">
        <v>0</v>
      </c>
      <c r="BW23" s="34">
        <v>2</v>
      </c>
      <c r="BX23" s="34">
        <v>1</v>
      </c>
      <c r="BY23" s="34">
        <v>2</v>
      </c>
      <c r="BZ23" s="34">
        <v>0</v>
      </c>
      <c r="CA23" s="34">
        <v>0</v>
      </c>
      <c r="CB23" s="34">
        <v>1</v>
      </c>
      <c r="CC23" s="34">
        <v>0</v>
      </c>
      <c r="CD23" s="34">
        <v>0</v>
      </c>
      <c r="CE23" s="34">
        <v>0</v>
      </c>
      <c r="CF23" s="34">
        <v>0</v>
      </c>
      <c r="CG23" s="34">
        <v>0</v>
      </c>
      <c r="CH23" s="34" t="s">
        <v>81</v>
      </c>
      <c r="CI23" s="34" t="s">
        <v>81</v>
      </c>
      <c r="CJ23" s="34">
        <v>1</v>
      </c>
      <c r="CK23" s="34" t="s">
        <v>81</v>
      </c>
      <c r="CL23" s="34">
        <v>0</v>
      </c>
      <c r="CM23" s="34">
        <v>0</v>
      </c>
      <c r="CN23" s="34" t="s">
        <v>81</v>
      </c>
      <c r="CO23" s="34" t="s">
        <v>81</v>
      </c>
      <c r="CP23" s="34" t="s">
        <v>81</v>
      </c>
      <c r="CQ23" s="34" t="s">
        <v>81</v>
      </c>
      <c r="CR23" s="34" t="s">
        <v>81</v>
      </c>
      <c r="CS23" s="34">
        <v>19.5</v>
      </c>
      <c r="CT23" s="35">
        <v>40231</v>
      </c>
      <c r="CU23" s="34" t="s">
        <v>81</v>
      </c>
      <c r="CV23" s="34">
        <v>260</v>
      </c>
      <c r="CW23" s="34">
        <v>0.9</v>
      </c>
      <c r="CX23" s="34">
        <v>138</v>
      </c>
      <c r="CY23" s="34">
        <v>98</v>
      </c>
      <c r="CZ23" s="34">
        <v>104</v>
      </c>
      <c r="DA23" s="34">
        <v>36</v>
      </c>
      <c r="DB23" s="34">
        <v>475</v>
      </c>
      <c r="DC23" s="34">
        <v>0.9</v>
      </c>
      <c r="DD23" s="34" t="s">
        <v>81</v>
      </c>
      <c r="DE23" s="34">
        <v>1</v>
      </c>
      <c r="DF23" s="34">
        <v>1</v>
      </c>
      <c r="DG23" s="34" t="s">
        <v>81</v>
      </c>
      <c r="DH23" s="34">
        <v>273</v>
      </c>
      <c r="DI23" s="34">
        <v>270</v>
      </c>
      <c r="DJ23" s="34" t="s">
        <v>81</v>
      </c>
      <c r="DK23" s="34">
        <v>32</v>
      </c>
      <c r="DL23" s="34">
        <v>137</v>
      </c>
      <c r="DM23" s="34">
        <v>3.6</v>
      </c>
      <c r="DN23" s="34">
        <v>4100</v>
      </c>
      <c r="DO23" s="34">
        <v>79</v>
      </c>
      <c r="DP23" s="34" t="s">
        <v>81</v>
      </c>
      <c r="DQ23" s="34">
        <v>118</v>
      </c>
      <c r="DR23" s="34">
        <v>22</v>
      </c>
      <c r="DS23" s="34">
        <v>670</v>
      </c>
      <c r="DT23" s="34">
        <v>118</v>
      </c>
      <c r="DU23" s="34">
        <v>13.7</v>
      </c>
      <c r="DV23" s="34">
        <v>55.6</v>
      </c>
      <c r="DW23" s="34">
        <v>1.42</v>
      </c>
      <c r="DX23" s="34">
        <v>1.6</v>
      </c>
      <c r="DY23" s="34" t="s">
        <v>81</v>
      </c>
      <c r="DZ23" s="34" t="s">
        <v>81</v>
      </c>
      <c r="EA23" s="34">
        <v>0</v>
      </c>
      <c r="EB23" s="34">
        <v>63.92</v>
      </c>
      <c r="EC23" s="34">
        <v>3</v>
      </c>
      <c r="ED23" s="34">
        <v>0</v>
      </c>
      <c r="EE23" s="34">
        <v>1</v>
      </c>
      <c r="EF23" s="34">
        <v>-1</v>
      </c>
      <c r="EG23" s="34">
        <v>3</v>
      </c>
      <c r="EH23" s="34">
        <v>2</v>
      </c>
      <c r="EI23" s="34" t="s">
        <v>81</v>
      </c>
      <c r="EJ23" s="34">
        <v>0</v>
      </c>
      <c r="EK23" s="34" t="s">
        <v>81</v>
      </c>
      <c r="EL23" s="34" t="s">
        <v>81</v>
      </c>
      <c r="EM23" s="34">
        <v>0.9</v>
      </c>
      <c r="EN23" s="34">
        <v>0.8</v>
      </c>
      <c r="EO23" s="34">
        <v>0.89</v>
      </c>
      <c r="EP23" s="34">
        <v>0.94</v>
      </c>
      <c r="EQ23" s="34">
        <v>0.88</v>
      </c>
      <c r="ER23" s="34">
        <v>1</v>
      </c>
      <c r="ES23" s="34" t="s">
        <v>81</v>
      </c>
      <c r="ET23" s="34">
        <v>0.79</v>
      </c>
      <c r="EU23" s="34" t="s">
        <v>81</v>
      </c>
      <c r="EV23" s="34">
        <v>0.89</v>
      </c>
      <c r="EW23" s="34">
        <v>0.79</v>
      </c>
      <c r="EX23" s="34" t="s">
        <v>81</v>
      </c>
      <c r="EY23" s="34">
        <v>0.9</v>
      </c>
      <c r="EZ23" s="34" t="s">
        <v>81</v>
      </c>
      <c r="FA23" s="34" t="s">
        <v>81</v>
      </c>
      <c r="FB23" s="34" t="s">
        <v>81</v>
      </c>
      <c r="FC23" s="34" t="s">
        <v>81</v>
      </c>
      <c r="FD23" s="34" t="s">
        <v>81</v>
      </c>
      <c r="FE23" s="34" t="s">
        <v>81</v>
      </c>
      <c r="FF23" s="34" t="s">
        <v>81</v>
      </c>
      <c r="FG23" s="34" t="s">
        <v>81</v>
      </c>
      <c r="FH23" s="34" t="s">
        <v>81</v>
      </c>
      <c r="FI23" s="34" t="s">
        <v>81</v>
      </c>
      <c r="FJ23" s="34" t="s">
        <v>81</v>
      </c>
      <c r="FK23" s="34" t="s">
        <v>81</v>
      </c>
      <c r="FL23" s="34" t="s">
        <v>81</v>
      </c>
      <c r="FM23" s="34" t="s">
        <v>81</v>
      </c>
      <c r="FN23" s="34" t="s">
        <v>81</v>
      </c>
      <c r="FO23" s="34" t="s">
        <v>81</v>
      </c>
      <c r="FP23" s="34" t="s">
        <v>81</v>
      </c>
      <c r="FQ23" s="34" t="s">
        <v>81</v>
      </c>
      <c r="FR23" s="34" t="s">
        <v>81</v>
      </c>
      <c r="FS23" s="34" t="s">
        <v>81</v>
      </c>
      <c r="FT23" s="34" t="s">
        <v>81</v>
      </c>
      <c r="FU23" s="34" t="s">
        <v>81</v>
      </c>
      <c r="FV23" s="34" t="s">
        <v>81</v>
      </c>
      <c r="FW23" s="34" t="s">
        <v>81</v>
      </c>
      <c r="FX23" s="34" t="s">
        <v>81</v>
      </c>
      <c r="FY23" s="34" t="s">
        <v>81</v>
      </c>
      <c r="FZ23" s="34">
        <v>90</v>
      </c>
      <c r="GA23" s="34">
        <v>49.92</v>
      </c>
    </row>
    <row r="24" spans="1:183" x14ac:dyDescent="0.25">
      <c r="A24" s="34">
        <v>22</v>
      </c>
      <c r="B24" s="4" t="s">
        <v>123</v>
      </c>
      <c r="C24" s="5" t="s">
        <v>732</v>
      </c>
      <c r="D24" s="5" t="s">
        <v>732</v>
      </c>
      <c r="E24" s="34">
        <v>90</v>
      </c>
      <c r="F24" s="34">
        <v>1</v>
      </c>
      <c r="G24" s="34">
        <v>2</v>
      </c>
      <c r="H24" s="34">
        <v>1</v>
      </c>
      <c r="I24" s="34">
        <v>1</v>
      </c>
      <c r="J24" s="35">
        <v>40428</v>
      </c>
      <c r="K24" s="35">
        <v>40430</v>
      </c>
      <c r="L24" s="35">
        <v>25240</v>
      </c>
      <c r="M24" s="34">
        <v>41</v>
      </c>
      <c r="N24" s="34">
        <v>1</v>
      </c>
      <c r="O24" s="34">
        <v>0</v>
      </c>
      <c r="P24" s="34">
        <v>1</v>
      </c>
      <c r="Q24" s="34">
        <v>4</v>
      </c>
      <c r="R24" s="34">
        <v>2</v>
      </c>
      <c r="S24" s="34">
        <v>9</v>
      </c>
      <c r="T24" s="34">
        <v>14</v>
      </c>
      <c r="U24" s="34">
        <v>6</v>
      </c>
      <c r="V24" s="34">
        <v>1</v>
      </c>
      <c r="W24" s="34">
        <v>0</v>
      </c>
      <c r="X24" s="34" t="s">
        <v>81</v>
      </c>
      <c r="Y24" s="34" t="s">
        <v>81</v>
      </c>
      <c r="Z24" s="35">
        <v>41094</v>
      </c>
      <c r="AA24" s="34">
        <v>666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1</v>
      </c>
      <c r="AI24" s="34">
        <v>2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  <c r="AR24" s="34">
        <v>0</v>
      </c>
      <c r="AS24" s="34">
        <v>0</v>
      </c>
      <c r="AT24" s="34">
        <v>0</v>
      </c>
      <c r="AU24" s="34">
        <v>1</v>
      </c>
      <c r="AV24" s="34" t="s">
        <v>82</v>
      </c>
      <c r="AW24" s="34" t="s">
        <v>468</v>
      </c>
      <c r="AX24" s="34" t="s">
        <v>469</v>
      </c>
      <c r="AY24" s="34">
        <v>0</v>
      </c>
      <c r="AZ24" s="34">
        <v>0</v>
      </c>
      <c r="BA24" s="34">
        <v>0</v>
      </c>
      <c r="BB24" s="34">
        <v>0</v>
      </c>
      <c r="BC24" s="34">
        <v>0</v>
      </c>
      <c r="BD24" s="34">
        <v>0</v>
      </c>
      <c r="BE24" s="34">
        <v>0</v>
      </c>
      <c r="BF24" s="34">
        <v>0</v>
      </c>
      <c r="BG24" s="34">
        <v>0</v>
      </c>
      <c r="BH24" s="34">
        <v>0</v>
      </c>
      <c r="BI24" s="34">
        <v>0</v>
      </c>
      <c r="BJ24" s="34" t="s">
        <v>81</v>
      </c>
      <c r="BK24" s="34" t="s">
        <v>81</v>
      </c>
      <c r="BL24" s="34" t="s">
        <v>124</v>
      </c>
      <c r="BM24" s="34">
        <v>116</v>
      </c>
      <c r="BN24" s="34">
        <v>74</v>
      </c>
      <c r="BO24" s="34">
        <v>18</v>
      </c>
      <c r="BP24" s="34">
        <v>110</v>
      </c>
      <c r="BQ24" s="34">
        <v>36.700000000000003</v>
      </c>
      <c r="BR24" s="34" t="s">
        <v>81</v>
      </c>
      <c r="BS24" s="34">
        <v>0</v>
      </c>
      <c r="BT24" s="34">
        <v>1</v>
      </c>
      <c r="BU24" s="34">
        <v>0</v>
      </c>
      <c r="BV24" s="34">
        <v>1</v>
      </c>
      <c r="BW24" s="34">
        <v>2</v>
      </c>
      <c r="BX24" s="34">
        <v>1</v>
      </c>
      <c r="BY24" s="34">
        <v>4</v>
      </c>
      <c r="BZ24" s="34">
        <v>0</v>
      </c>
      <c r="CA24" s="34">
        <v>0</v>
      </c>
      <c r="CB24" s="34">
        <v>1</v>
      </c>
      <c r="CC24" s="34">
        <v>0</v>
      </c>
      <c r="CD24" s="34">
        <v>0</v>
      </c>
      <c r="CE24" s="34">
        <v>0</v>
      </c>
      <c r="CF24" s="34">
        <v>0</v>
      </c>
      <c r="CG24" s="34">
        <v>0</v>
      </c>
      <c r="CH24" s="34" t="s">
        <v>81</v>
      </c>
      <c r="CI24" s="34" t="s">
        <v>81</v>
      </c>
      <c r="CJ24" s="34">
        <v>1</v>
      </c>
      <c r="CK24" s="34" t="s">
        <v>81</v>
      </c>
      <c r="CL24" s="34">
        <v>0</v>
      </c>
      <c r="CM24" s="34">
        <v>0</v>
      </c>
      <c r="CN24" s="34" t="s">
        <v>81</v>
      </c>
      <c r="CO24" s="34" t="s">
        <v>81</v>
      </c>
      <c r="CP24" s="34" t="s">
        <v>81</v>
      </c>
      <c r="CQ24" s="34" t="s">
        <v>81</v>
      </c>
      <c r="CR24" s="34" t="s">
        <v>81</v>
      </c>
      <c r="CS24" s="34">
        <v>23</v>
      </c>
      <c r="CT24" s="35">
        <v>40428</v>
      </c>
      <c r="CU24" s="34" t="s">
        <v>81</v>
      </c>
      <c r="CV24" s="34">
        <v>114</v>
      </c>
      <c r="CW24" s="34">
        <v>0.7</v>
      </c>
      <c r="CX24" s="34">
        <v>96</v>
      </c>
      <c r="CY24" s="34">
        <v>75</v>
      </c>
      <c r="CZ24" s="34">
        <v>65</v>
      </c>
      <c r="DA24" s="34">
        <v>20</v>
      </c>
      <c r="DB24" s="34">
        <v>756</v>
      </c>
      <c r="DC24" s="34">
        <v>2.6</v>
      </c>
      <c r="DD24" s="34" t="s">
        <v>81</v>
      </c>
      <c r="DE24" s="34">
        <v>1</v>
      </c>
      <c r="DF24" s="34">
        <v>2.6</v>
      </c>
      <c r="DG24" s="34">
        <v>2.1</v>
      </c>
      <c r="DH24" s="34">
        <v>858</v>
      </c>
      <c r="DI24" s="34" t="s">
        <v>81</v>
      </c>
      <c r="DJ24" s="34" t="s">
        <v>81</v>
      </c>
      <c r="DK24" s="34">
        <v>23</v>
      </c>
      <c r="DL24" s="34">
        <v>135</v>
      </c>
      <c r="DM24" s="34">
        <v>3</v>
      </c>
      <c r="DN24" s="34">
        <v>20800</v>
      </c>
      <c r="DO24" s="34">
        <v>84</v>
      </c>
      <c r="DP24" s="34" t="s">
        <v>81</v>
      </c>
      <c r="DQ24" s="34">
        <v>91</v>
      </c>
      <c r="DR24" s="34">
        <v>29</v>
      </c>
      <c r="DS24" s="34">
        <v>1090</v>
      </c>
      <c r="DT24" s="34">
        <v>209</v>
      </c>
      <c r="DU24" s="34">
        <v>13.5</v>
      </c>
      <c r="DV24" s="34">
        <v>53.6</v>
      </c>
      <c r="DW24" s="34">
        <v>1.44</v>
      </c>
      <c r="DX24" s="34">
        <v>1.8</v>
      </c>
      <c r="DY24" s="34" t="s">
        <v>81</v>
      </c>
      <c r="DZ24" s="34" t="s">
        <v>81</v>
      </c>
      <c r="EA24" s="34">
        <v>1</v>
      </c>
      <c r="EB24" s="34">
        <v>64.7</v>
      </c>
      <c r="EC24" s="34">
        <v>1</v>
      </c>
      <c r="ED24" s="34">
        <v>-1</v>
      </c>
      <c r="EE24" s="34">
        <v>1</v>
      </c>
      <c r="EF24" s="34">
        <v>0</v>
      </c>
      <c r="EG24" s="34">
        <v>1</v>
      </c>
      <c r="EH24" s="34">
        <v>1</v>
      </c>
      <c r="EI24" s="34">
        <v>0</v>
      </c>
      <c r="EJ24" s="34">
        <v>0</v>
      </c>
      <c r="EK24" s="34" t="s">
        <v>81</v>
      </c>
      <c r="EL24" s="34" t="s">
        <v>81</v>
      </c>
      <c r="EM24" s="34">
        <v>0.7</v>
      </c>
      <c r="EN24" s="34">
        <v>0.56000000000000005</v>
      </c>
      <c r="EO24" s="34">
        <v>0.57999999999999996</v>
      </c>
      <c r="EP24" s="34">
        <v>0.6</v>
      </c>
      <c r="EQ24" s="34" t="s">
        <v>81</v>
      </c>
      <c r="ER24" s="34" t="s">
        <v>81</v>
      </c>
      <c r="ES24" s="34">
        <v>0.52</v>
      </c>
      <c r="ET24" s="34">
        <v>0.56000000000000005</v>
      </c>
      <c r="EU24" s="34" t="s">
        <v>81</v>
      </c>
      <c r="EV24" s="34">
        <v>0.59</v>
      </c>
      <c r="EW24" s="34" t="s">
        <v>81</v>
      </c>
      <c r="EX24" s="34" t="s">
        <v>81</v>
      </c>
      <c r="EY24" s="34" t="s">
        <v>81</v>
      </c>
      <c r="EZ24" s="34">
        <v>0.54</v>
      </c>
      <c r="FA24" s="34" t="s">
        <v>81</v>
      </c>
      <c r="FB24" s="34" t="s">
        <v>81</v>
      </c>
      <c r="FC24" s="34" t="s">
        <v>81</v>
      </c>
      <c r="FD24" s="34" t="s">
        <v>81</v>
      </c>
      <c r="FE24" s="34" t="s">
        <v>81</v>
      </c>
      <c r="FF24" s="34" t="s">
        <v>81</v>
      </c>
      <c r="FG24" s="34" t="s">
        <v>81</v>
      </c>
      <c r="FH24" s="34" t="s">
        <v>81</v>
      </c>
      <c r="FI24" s="34" t="s">
        <v>81</v>
      </c>
      <c r="FJ24" s="34" t="s">
        <v>81</v>
      </c>
      <c r="FK24" s="34" t="s">
        <v>81</v>
      </c>
      <c r="FL24" s="34" t="s">
        <v>81</v>
      </c>
      <c r="FM24" s="34" t="s">
        <v>81</v>
      </c>
      <c r="FN24" s="34" t="s">
        <v>81</v>
      </c>
      <c r="FO24" s="34" t="s">
        <v>81</v>
      </c>
      <c r="FP24" s="34" t="s">
        <v>81</v>
      </c>
      <c r="FQ24" s="34" t="s">
        <v>81</v>
      </c>
      <c r="FR24" s="34" t="s">
        <v>81</v>
      </c>
      <c r="FS24" s="34" t="s">
        <v>81</v>
      </c>
      <c r="FT24" s="34" t="s">
        <v>81</v>
      </c>
      <c r="FU24" s="34" t="s">
        <v>81</v>
      </c>
      <c r="FV24" s="34" t="s">
        <v>81</v>
      </c>
      <c r="FW24" s="34" t="s">
        <v>81</v>
      </c>
      <c r="FX24" s="34" t="s">
        <v>81</v>
      </c>
      <c r="FY24" s="34" t="s">
        <v>81</v>
      </c>
      <c r="FZ24" s="34">
        <v>90</v>
      </c>
      <c r="GA24" s="34">
        <v>50.7</v>
      </c>
    </row>
    <row r="25" spans="1:183" x14ac:dyDescent="0.25">
      <c r="A25" s="34">
        <v>23</v>
      </c>
      <c r="B25" s="4" t="s">
        <v>125</v>
      </c>
      <c r="C25" s="5" t="s">
        <v>732</v>
      </c>
      <c r="D25" s="5" t="s">
        <v>732</v>
      </c>
      <c r="E25" s="34">
        <v>90</v>
      </c>
      <c r="F25" s="34">
        <v>1</v>
      </c>
      <c r="G25" s="34">
        <v>2</v>
      </c>
      <c r="H25" s="34">
        <v>1</v>
      </c>
      <c r="I25" s="34">
        <v>1</v>
      </c>
      <c r="J25" s="35"/>
      <c r="K25" s="35">
        <v>40441</v>
      </c>
      <c r="L25" s="35">
        <v>24343</v>
      </c>
      <c r="M25" s="34">
        <v>44</v>
      </c>
      <c r="N25" s="34">
        <v>1</v>
      </c>
      <c r="O25" s="34">
        <v>0</v>
      </c>
      <c r="P25" s="34">
        <v>1</v>
      </c>
      <c r="Q25" s="34">
        <v>4</v>
      </c>
      <c r="R25" s="34">
        <v>2</v>
      </c>
      <c r="S25" s="34">
        <v>7</v>
      </c>
      <c r="T25" s="34">
        <v>12</v>
      </c>
      <c r="U25" s="34">
        <v>6</v>
      </c>
      <c r="V25" s="34">
        <v>1</v>
      </c>
      <c r="W25" s="34">
        <v>0</v>
      </c>
      <c r="X25" s="34" t="s">
        <v>81</v>
      </c>
      <c r="Y25" s="34" t="s">
        <v>81</v>
      </c>
      <c r="Z25" s="35">
        <v>41085</v>
      </c>
      <c r="AA25" s="34">
        <v>647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1</v>
      </c>
      <c r="AI25" s="34">
        <v>2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  <c r="AR25" s="34">
        <v>0</v>
      </c>
      <c r="AS25" s="34">
        <v>0</v>
      </c>
      <c r="AT25" s="34">
        <v>0</v>
      </c>
      <c r="AU25" s="34">
        <v>0</v>
      </c>
      <c r="AV25" s="34" t="s">
        <v>81</v>
      </c>
      <c r="AW25" s="34" t="s">
        <v>81</v>
      </c>
      <c r="AX25" s="34" t="s">
        <v>81</v>
      </c>
      <c r="AY25" s="34">
        <v>0</v>
      </c>
      <c r="AZ25" s="34" t="s">
        <v>81</v>
      </c>
      <c r="BA25" s="34" t="s">
        <v>81</v>
      </c>
      <c r="BB25" s="34" t="s">
        <v>81</v>
      </c>
      <c r="BC25" s="34" t="s">
        <v>81</v>
      </c>
      <c r="BD25" s="34">
        <v>0</v>
      </c>
      <c r="BE25" s="34">
        <v>0</v>
      </c>
      <c r="BF25" s="34">
        <v>0</v>
      </c>
      <c r="BG25" s="34">
        <v>0</v>
      </c>
      <c r="BH25" s="34">
        <v>0</v>
      </c>
      <c r="BI25" s="34">
        <v>0</v>
      </c>
      <c r="BJ25" s="34" t="s">
        <v>81</v>
      </c>
      <c r="BK25" s="34" t="s">
        <v>81</v>
      </c>
      <c r="BL25" s="34" t="s">
        <v>126</v>
      </c>
      <c r="BM25" s="34">
        <v>136</v>
      </c>
      <c r="BN25" s="34">
        <v>87</v>
      </c>
      <c r="BO25" s="34">
        <v>18</v>
      </c>
      <c r="BP25" s="34">
        <v>98</v>
      </c>
      <c r="BQ25" s="34">
        <v>36.1</v>
      </c>
      <c r="BR25" s="34" t="s">
        <v>81</v>
      </c>
      <c r="BS25" s="34">
        <v>0</v>
      </c>
      <c r="BT25" s="34">
        <v>1</v>
      </c>
      <c r="BU25" s="34">
        <v>0</v>
      </c>
      <c r="BV25" s="34">
        <v>0</v>
      </c>
      <c r="BW25" s="34">
        <v>1</v>
      </c>
      <c r="BX25" s="34">
        <v>0</v>
      </c>
      <c r="BY25" s="34">
        <v>1</v>
      </c>
      <c r="BZ25" s="34">
        <v>1</v>
      </c>
      <c r="CA25" s="34">
        <v>0</v>
      </c>
      <c r="CB25" s="34">
        <v>1</v>
      </c>
      <c r="CC25" s="34">
        <v>0</v>
      </c>
      <c r="CD25" s="34">
        <v>0</v>
      </c>
      <c r="CE25" s="34">
        <v>0</v>
      </c>
      <c r="CF25" s="34">
        <v>0</v>
      </c>
      <c r="CG25" s="34">
        <v>0</v>
      </c>
      <c r="CH25" s="34" t="s">
        <v>81</v>
      </c>
      <c r="CI25" s="34" t="s">
        <v>81</v>
      </c>
      <c r="CJ25" s="34">
        <v>2</v>
      </c>
      <c r="CK25" s="34" t="s">
        <v>81</v>
      </c>
      <c r="CL25" s="34">
        <v>1</v>
      </c>
      <c r="CM25" s="34">
        <v>0</v>
      </c>
      <c r="CN25" s="34" t="s">
        <v>81</v>
      </c>
      <c r="CO25" s="34" t="s">
        <v>81</v>
      </c>
      <c r="CP25" s="34" t="s">
        <v>81</v>
      </c>
      <c r="CQ25" s="34" t="s">
        <v>81</v>
      </c>
      <c r="CR25" s="34" t="s">
        <v>81</v>
      </c>
      <c r="CS25" s="34">
        <v>19</v>
      </c>
      <c r="CT25" s="35">
        <v>40438</v>
      </c>
      <c r="CU25" s="34" t="s">
        <v>81</v>
      </c>
      <c r="CV25" s="34">
        <v>99</v>
      </c>
      <c r="CW25" s="34">
        <v>0.5</v>
      </c>
      <c r="CX25" s="34">
        <v>84</v>
      </c>
      <c r="CY25" s="34">
        <v>83</v>
      </c>
      <c r="CZ25" s="34">
        <v>117</v>
      </c>
      <c r="DA25" s="34">
        <v>31</v>
      </c>
      <c r="DB25" s="34">
        <v>709</v>
      </c>
      <c r="DC25" s="34">
        <v>1.4</v>
      </c>
      <c r="DD25" s="34" t="s">
        <v>81</v>
      </c>
      <c r="DE25" s="34">
        <v>1</v>
      </c>
      <c r="DF25" s="34">
        <v>1.4</v>
      </c>
      <c r="DG25" s="34" t="s">
        <v>81</v>
      </c>
      <c r="DH25" s="34">
        <v>226</v>
      </c>
      <c r="DI25" s="34" t="s">
        <v>81</v>
      </c>
      <c r="DJ25" s="34" t="s">
        <v>81</v>
      </c>
      <c r="DK25" s="34">
        <v>29</v>
      </c>
      <c r="DL25" s="34">
        <v>135</v>
      </c>
      <c r="DM25" s="34">
        <v>3.3</v>
      </c>
      <c r="DN25" s="34">
        <v>6300</v>
      </c>
      <c r="DO25" s="34">
        <v>75</v>
      </c>
      <c r="DP25" s="34" t="s">
        <v>81</v>
      </c>
      <c r="DQ25" s="34">
        <v>113</v>
      </c>
      <c r="DR25" s="34">
        <v>35</v>
      </c>
      <c r="DS25" s="34">
        <v>1060</v>
      </c>
      <c r="DT25" s="34">
        <v>57</v>
      </c>
      <c r="DU25" s="34">
        <v>13.5</v>
      </c>
      <c r="DV25" s="34">
        <v>53.2</v>
      </c>
      <c r="DW25" s="34">
        <v>1.45</v>
      </c>
      <c r="DX25" s="34">
        <v>3.1</v>
      </c>
      <c r="DY25" s="34" t="s">
        <v>81</v>
      </c>
      <c r="DZ25" s="34" t="s">
        <v>81</v>
      </c>
      <c r="EA25" s="34">
        <v>0</v>
      </c>
      <c r="EB25" s="34">
        <v>63.5</v>
      </c>
      <c r="EC25" s="34">
        <v>3</v>
      </c>
      <c r="ED25" s="34">
        <v>0</v>
      </c>
      <c r="EE25" s="34">
        <v>1</v>
      </c>
      <c r="EF25" s="34">
        <v>0</v>
      </c>
      <c r="EG25" s="34">
        <v>4</v>
      </c>
      <c r="EH25" s="34">
        <v>2</v>
      </c>
      <c r="EI25" s="34">
        <v>0</v>
      </c>
      <c r="EJ25" s="34">
        <v>1</v>
      </c>
      <c r="EK25" s="34" t="s">
        <v>81</v>
      </c>
      <c r="EL25" s="34" t="s">
        <v>81</v>
      </c>
      <c r="EM25" s="34">
        <v>0.5</v>
      </c>
      <c r="EN25" s="34" t="s">
        <v>81</v>
      </c>
      <c r="EO25" s="34">
        <v>0.8</v>
      </c>
      <c r="EP25" s="34">
        <v>0.55000000000000004</v>
      </c>
      <c r="EQ25" s="34" t="s">
        <v>81</v>
      </c>
      <c r="ER25" s="34" t="s">
        <v>81</v>
      </c>
      <c r="ES25" s="34">
        <v>1.2</v>
      </c>
      <c r="ET25" s="34">
        <v>0.7</v>
      </c>
      <c r="EU25" s="34">
        <v>0.8</v>
      </c>
      <c r="EV25" s="34" t="s">
        <v>81</v>
      </c>
      <c r="EW25" s="34">
        <v>0.54</v>
      </c>
      <c r="EX25" s="34" t="s">
        <v>81</v>
      </c>
      <c r="EY25" s="34" t="s">
        <v>81</v>
      </c>
      <c r="EZ25" s="34">
        <v>0.59</v>
      </c>
      <c r="FA25" s="34" t="s">
        <v>81</v>
      </c>
      <c r="FB25" s="34" t="s">
        <v>81</v>
      </c>
      <c r="FC25" s="34" t="s">
        <v>81</v>
      </c>
      <c r="FD25" s="34">
        <v>0.6</v>
      </c>
      <c r="FE25" s="34" t="s">
        <v>81</v>
      </c>
      <c r="FF25" s="34" t="s">
        <v>81</v>
      </c>
      <c r="FG25" s="34" t="s">
        <v>81</v>
      </c>
      <c r="FH25" s="34" t="s">
        <v>81</v>
      </c>
      <c r="FI25" s="34" t="s">
        <v>81</v>
      </c>
      <c r="FJ25" s="34" t="s">
        <v>81</v>
      </c>
      <c r="FK25" s="34" t="s">
        <v>81</v>
      </c>
      <c r="FL25" s="34" t="s">
        <v>81</v>
      </c>
      <c r="FM25" s="34" t="s">
        <v>81</v>
      </c>
      <c r="FN25" s="34" t="s">
        <v>81</v>
      </c>
      <c r="FO25" s="34" t="s">
        <v>81</v>
      </c>
      <c r="FP25" s="34" t="s">
        <v>81</v>
      </c>
      <c r="FQ25" s="34" t="s">
        <v>81</v>
      </c>
      <c r="FR25" s="34" t="s">
        <v>81</v>
      </c>
      <c r="FS25" s="34" t="s">
        <v>81</v>
      </c>
      <c r="FT25" s="34" t="s">
        <v>81</v>
      </c>
      <c r="FU25" s="34" t="s">
        <v>81</v>
      </c>
      <c r="FV25" s="34" t="s">
        <v>81</v>
      </c>
      <c r="FW25" s="34" t="s">
        <v>81</v>
      </c>
      <c r="FX25" s="34" t="s">
        <v>81</v>
      </c>
      <c r="FY25" s="34" t="s">
        <v>81</v>
      </c>
      <c r="FZ25" s="34">
        <v>90</v>
      </c>
      <c r="GA25" s="34">
        <v>49.5</v>
      </c>
    </row>
    <row r="26" spans="1:183" x14ac:dyDescent="0.25">
      <c r="A26" s="34">
        <v>24</v>
      </c>
      <c r="B26" s="4" t="s">
        <v>127</v>
      </c>
      <c r="C26" s="5" t="s">
        <v>732</v>
      </c>
      <c r="D26" s="5" t="s">
        <v>732</v>
      </c>
      <c r="E26" s="34">
        <v>90</v>
      </c>
      <c r="F26" s="34">
        <v>1</v>
      </c>
      <c r="G26" s="34">
        <v>2</v>
      </c>
      <c r="H26" s="34">
        <v>1</v>
      </c>
      <c r="I26" s="34">
        <v>1</v>
      </c>
      <c r="J26" s="35">
        <v>40445</v>
      </c>
      <c r="K26" s="35">
        <v>40449</v>
      </c>
      <c r="L26" s="35">
        <v>25911</v>
      </c>
      <c r="M26" s="34">
        <v>39</v>
      </c>
      <c r="N26" s="34">
        <v>1</v>
      </c>
      <c r="O26" s="34">
        <v>1</v>
      </c>
      <c r="P26" s="34">
        <v>0</v>
      </c>
      <c r="Q26" s="34">
        <v>3</v>
      </c>
      <c r="R26" s="34">
        <v>2</v>
      </c>
      <c r="S26" s="34">
        <v>6</v>
      </c>
      <c r="T26" s="34">
        <v>7</v>
      </c>
      <c r="U26" s="34">
        <v>5.08</v>
      </c>
      <c r="V26" s="34">
        <v>1</v>
      </c>
      <c r="W26" s="34">
        <v>0</v>
      </c>
      <c r="X26" s="34" t="s">
        <v>81</v>
      </c>
      <c r="Y26" s="34" t="s">
        <v>81</v>
      </c>
      <c r="Z26" s="35">
        <v>40800</v>
      </c>
      <c r="AA26" s="34">
        <v>355</v>
      </c>
      <c r="AB26" s="34">
        <v>0</v>
      </c>
      <c r="AC26" s="34">
        <v>0</v>
      </c>
      <c r="AD26" s="34">
        <v>0</v>
      </c>
      <c r="AE26" s="34" t="s">
        <v>81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  <c r="AR26" s="34">
        <v>0</v>
      </c>
      <c r="AS26" s="34">
        <v>0</v>
      </c>
      <c r="AT26" s="34">
        <v>0</v>
      </c>
      <c r="AU26" s="34">
        <v>0</v>
      </c>
      <c r="AV26" s="34" t="s">
        <v>81</v>
      </c>
      <c r="AW26" s="34" t="s">
        <v>81</v>
      </c>
      <c r="AX26" s="34" t="s">
        <v>81</v>
      </c>
      <c r="AY26" s="34">
        <v>0</v>
      </c>
      <c r="AZ26" s="34" t="s">
        <v>81</v>
      </c>
      <c r="BA26" s="34" t="s">
        <v>81</v>
      </c>
      <c r="BB26" s="34" t="s">
        <v>81</v>
      </c>
      <c r="BC26" s="34" t="s">
        <v>81</v>
      </c>
      <c r="BD26" s="34">
        <v>0</v>
      </c>
      <c r="BE26" s="34">
        <v>0</v>
      </c>
      <c r="BF26" s="34">
        <v>0</v>
      </c>
      <c r="BG26" s="34">
        <v>0</v>
      </c>
      <c r="BH26" s="34">
        <v>0</v>
      </c>
      <c r="BI26" s="34">
        <v>0</v>
      </c>
      <c r="BJ26" s="34" t="s">
        <v>81</v>
      </c>
      <c r="BK26" s="34" t="s">
        <v>81</v>
      </c>
      <c r="BL26" s="34" t="s">
        <v>128</v>
      </c>
      <c r="BM26" s="34" t="s">
        <v>81</v>
      </c>
      <c r="BN26" s="34" t="s">
        <v>81</v>
      </c>
      <c r="BO26" s="34" t="s">
        <v>81</v>
      </c>
      <c r="BP26" s="34" t="s">
        <v>81</v>
      </c>
      <c r="BQ26" s="34" t="s">
        <v>81</v>
      </c>
      <c r="BR26" s="34" t="s">
        <v>81</v>
      </c>
      <c r="BS26" s="34" t="s">
        <v>81</v>
      </c>
      <c r="BT26" s="34" t="s">
        <v>81</v>
      </c>
      <c r="BU26" s="34" t="s">
        <v>81</v>
      </c>
      <c r="BV26" s="34">
        <v>1</v>
      </c>
      <c r="BW26" s="34">
        <v>1</v>
      </c>
      <c r="BX26" s="34">
        <v>0</v>
      </c>
      <c r="BY26" s="34">
        <v>1</v>
      </c>
      <c r="BZ26" s="34">
        <v>0</v>
      </c>
      <c r="CA26" s="34">
        <v>0</v>
      </c>
      <c r="CB26" s="34">
        <v>1</v>
      </c>
      <c r="CC26" s="34">
        <v>0</v>
      </c>
      <c r="CD26" s="34">
        <v>0</v>
      </c>
      <c r="CE26" s="34">
        <v>0</v>
      </c>
      <c r="CF26" s="34">
        <v>0</v>
      </c>
      <c r="CG26" s="34">
        <v>0</v>
      </c>
      <c r="CH26" s="34" t="s">
        <v>81</v>
      </c>
      <c r="CI26" s="34" t="s">
        <v>81</v>
      </c>
      <c r="CJ26" s="34">
        <v>1</v>
      </c>
      <c r="CK26" s="34" t="s">
        <v>81</v>
      </c>
      <c r="CL26" s="34">
        <v>0</v>
      </c>
      <c r="CM26" s="34">
        <v>0</v>
      </c>
      <c r="CN26" s="34" t="s">
        <v>81</v>
      </c>
      <c r="CO26" s="34" t="s">
        <v>81</v>
      </c>
      <c r="CP26" s="34" t="s">
        <v>81</v>
      </c>
      <c r="CQ26" s="34" t="s">
        <v>81</v>
      </c>
      <c r="CR26" s="34" t="s">
        <v>81</v>
      </c>
      <c r="CS26" s="34">
        <v>6</v>
      </c>
      <c r="CT26" s="35">
        <v>40448</v>
      </c>
      <c r="CU26" s="34" t="s">
        <v>81</v>
      </c>
      <c r="CV26" s="34">
        <v>67</v>
      </c>
      <c r="CW26" s="34">
        <v>0.85</v>
      </c>
      <c r="CX26" s="34">
        <v>195</v>
      </c>
      <c r="CY26" s="34">
        <v>114</v>
      </c>
      <c r="CZ26" s="34">
        <v>48</v>
      </c>
      <c r="DA26" s="34">
        <v>33</v>
      </c>
      <c r="DB26" s="34">
        <v>378</v>
      </c>
      <c r="DC26" s="34">
        <v>0.9</v>
      </c>
      <c r="DD26" s="34" t="s">
        <v>81</v>
      </c>
      <c r="DE26" s="34">
        <v>1</v>
      </c>
      <c r="DF26" s="34">
        <v>1</v>
      </c>
      <c r="DG26" s="34">
        <v>0.6</v>
      </c>
      <c r="DH26" s="34">
        <v>436</v>
      </c>
      <c r="DI26" s="34" t="s">
        <v>81</v>
      </c>
      <c r="DJ26" s="34" t="s">
        <v>81</v>
      </c>
      <c r="DK26" s="34">
        <v>32</v>
      </c>
      <c r="DL26" s="34">
        <v>140</v>
      </c>
      <c r="DM26" s="34">
        <v>3.7</v>
      </c>
      <c r="DN26" s="34">
        <v>13280</v>
      </c>
      <c r="DO26" s="34">
        <v>69</v>
      </c>
      <c r="DP26" s="34" t="s">
        <v>81</v>
      </c>
      <c r="DQ26" s="34">
        <v>131</v>
      </c>
      <c r="DR26" s="34">
        <v>41</v>
      </c>
      <c r="DS26" s="34">
        <v>1066</v>
      </c>
      <c r="DT26" s="34">
        <v>309</v>
      </c>
      <c r="DU26" s="34">
        <v>14</v>
      </c>
      <c r="DV26" s="34">
        <v>91</v>
      </c>
      <c r="DW26" s="34">
        <v>1.06</v>
      </c>
      <c r="DX26" s="34" t="s">
        <v>81</v>
      </c>
      <c r="DY26" s="34" t="s">
        <v>81</v>
      </c>
      <c r="DZ26" s="34" t="s">
        <v>81</v>
      </c>
      <c r="EA26" s="34">
        <v>0</v>
      </c>
      <c r="EB26" s="34">
        <v>65.3</v>
      </c>
      <c r="EC26" s="34">
        <v>2</v>
      </c>
      <c r="ED26" s="34">
        <v>0</v>
      </c>
      <c r="EE26" s="34">
        <v>3</v>
      </c>
      <c r="EF26" s="34">
        <v>0</v>
      </c>
      <c r="EG26" s="34">
        <v>5</v>
      </c>
      <c r="EH26" s="34">
        <v>2</v>
      </c>
      <c r="EI26" s="34">
        <v>0</v>
      </c>
      <c r="EJ26" s="34">
        <v>0</v>
      </c>
      <c r="EK26" s="34" t="s">
        <v>464</v>
      </c>
      <c r="EL26" s="34" t="s">
        <v>81</v>
      </c>
      <c r="EM26" s="34">
        <v>1.34</v>
      </c>
      <c r="EN26" s="34">
        <v>1.03</v>
      </c>
      <c r="EO26" s="34" t="s">
        <v>81</v>
      </c>
      <c r="EP26" s="34">
        <v>0.85</v>
      </c>
      <c r="EQ26" s="34" t="s">
        <v>81</v>
      </c>
      <c r="ER26" s="34" t="s">
        <v>81</v>
      </c>
      <c r="ES26" s="34" t="s">
        <v>81</v>
      </c>
      <c r="ET26" s="34" t="s">
        <v>81</v>
      </c>
      <c r="EU26" s="34" t="s">
        <v>81</v>
      </c>
      <c r="EV26" s="34" t="s">
        <v>81</v>
      </c>
      <c r="EW26" s="34" t="s">
        <v>81</v>
      </c>
      <c r="EX26" s="34" t="s">
        <v>81</v>
      </c>
      <c r="EY26" s="34" t="s">
        <v>81</v>
      </c>
      <c r="EZ26" s="34" t="s">
        <v>81</v>
      </c>
      <c r="FA26" s="34" t="s">
        <v>81</v>
      </c>
      <c r="FB26" s="34" t="s">
        <v>81</v>
      </c>
      <c r="FC26" s="34" t="s">
        <v>81</v>
      </c>
      <c r="FD26" s="34" t="s">
        <v>81</v>
      </c>
      <c r="FE26" s="34" t="s">
        <v>81</v>
      </c>
      <c r="FF26" s="34" t="s">
        <v>81</v>
      </c>
      <c r="FG26" s="34" t="s">
        <v>81</v>
      </c>
      <c r="FH26" s="34" t="s">
        <v>81</v>
      </c>
      <c r="FI26" s="34" t="s">
        <v>81</v>
      </c>
      <c r="FJ26" s="34" t="s">
        <v>81</v>
      </c>
      <c r="FK26" s="34" t="s">
        <v>81</v>
      </c>
      <c r="FL26" s="34" t="s">
        <v>81</v>
      </c>
      <c r="FM26" s="34" t="s">
        <v>81</v>
      </c>
      <c r="FN26" s="34" t="s">
        <v>81</v>
      </c>
      <c r="FO26" s="34" t="s">
        <v>81</v>
      </c>
      <c r="FP26" s="34" t="s">
        <v>81</v>
      </c>
      <c r="FQ26" s="34" t="s">
        <v>81</v>
      </c>
      <c r="FR26" s="34" t="s">
        <v>81</v>
      </c>
      <c r="FS26" s="34" t="s">
        <v>81</v>
      </c>
      <c r="FT26" s="34" t="s">
        <v>81</v>
      </c>
      <c r="FU26" s="34" t="s">
        <v>81</v>
      </c>
      <c r="FV26" s="34" t="s">
        <v>81</v>
      </c>
      <c r="FW26" s="34" t="s">
        <v>81</v>
      </c>
      <c r="FX26" s="34" t="s">
        <v>81</v>
      </c>
      <c r="FY26" s="34" t="s">
        <v>81</v>
      </c>
      <c r="FZ26" s="34">
        <v>90</v>
      </c>
      <c r="GA26" s="34">
        <v>51.3</v>
      </c>
    </row>
    <row r="27" spans="1:183" x14ac:dyDescent="0.25">
      <c r="A27" s="34">
        <v>25</v>
      </c>
      <c r="B27" s="4" t="s">
        <v>129</v>
      </c>
      <c r="C27" s="5" t="s">
        <v>732</v>
      </c>
      <c r="D27" s="5" t="s">
        <v>732</v>
      </c>
      <c r="E27" s="34">
        <v>90</v>
      </c>
      <c r="F27" s="34">
        <v>1</v>
      </c>
      <c r="G27" s="34">
        <v>2</v>
      </c>
      <c r="H27" s="34">
        <v>1</v>
      </c>
      <c r="I27" s="34">
        <v>1</v>
      </c>
      <c r="J27" s="35">
        <v>40476</v>
      </c>
      <c r="K27" s="35">
        <v>40476</v>
      </c>
      <c r="L27" s="35">
        <v>21684</v>
      </c>
      <c r="M27" s="34">
        <v>51</v>
      </c>
      <c r="N27" s="34">
        <v>1</v>
      </c>
      <c r="O27" s="34">
        <v>1</v>
      </c>
      <c r="P27" s="34">
        <v>1</v>
      </c>
      <c r="Q27" s="34">
        <v>4</v>
      </c>
      <c r="R27" s="34">
        <v>1</v>
      </c>
      <c r="S27" s="34">
        <v>5</v>
      </c>
      <c r="T27" s="34">
        <v>6</v>
      </c>
      <c r="U27" s="34">
        <v>6.21</v>
      </c>
      <c r="V27" s="34">
        <v>1</v>
      </c>
      <c r="W27" s="34">
        <v>0</v>
      </c>
      <c r="X27" s="34" t="s">
        <v>81</v>
      </c>
      <c r="Y27" s="34" t="s">
        <v>81</v>
      </c>
      <c r="Z27" s="35">
        <v>41065</v>
      </c>
      <c r="AA27" s="34">
        <v>589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  <c r="AR27" s="34">
        <v>0</v>
      </c>
      <c r="AS27" s="34">
        <v>0</v>
      </c>
      <c r="AT27" s="34">
        <v>0</v>
      </c>
      <c r="AU27" s="34">
        <v>0</v>
      </c>
      <c r="AV27" s="34" t="s">
        <v>81</v>
      </c>
      <c r="AW27" s="34" t="s">
        <v>81</v>
      </c>
      <c r="AX27" s="34" t="s">
        <v>81</v>
      </c>
      <c r="AY27" s="34">
        <v>0</v>
      </c>
      <c r="AZ27" s="34" t="s">
        <v>81</v>
      </c>
      <c r="BA27" s="34" t="s">
        <v>81</v>
      </c>
      <c r="BB27" s="34" t="s">
        <v>81</v>
      </c>
      <c r="BC27" s="34" t="s">
        <v>81</v>
      </c>
      <c r="BD27" s="34">
        <v>0</v>
      </c>
      <c r="BE27" s="34">
        <v>0</v>
      </c>
      <c r="BF27" s="34">
        <v>0</v>
      </c>
      <c r="BG27" s="34">
        <v>0</v>
      </c>
      <c r="BH27" s="34">
        <v>0</v>
      </c>
      <c r="BI27" s="34">
        <v>0</v>
      </c>
      <c r="BJ27" s="34" t="s">
        <v>81</v>
      </c>
      <c r="BK27" s="34" t="s">
        <v>81</v>
      </c>
      <c r="BL27" s="34" t="s">
        <v>130</v>
      </c>
      <c r="BM27" s="34" t="s">
        <v>81</v>
      </c>
      <c r="BN27" s="34" t="s">
        <v>81</v>
      </c>
      <c r="BO27" s="34" t="s">
        <v>81</v>
      </c>
      <c r="BP27" s="34" t="s">
        <v>81</v>
      </c>
      <c r="BQ27" s="34" t="s">
        <v>81</v>
      </c>
      <c r="BR27" s="34" t="s">
        <v>81</v>
      </c>
      <c r="BS27" s="34" t="s">
        <v>81</v>
      </c>
      <c r="BT27" s="34" t="s">
        <v>81</v>
      </c>
      <c r="BU27" s="34" t="s">
        <v>81</v>
      </c>
      <c r="BV27" s="34">
        <v>0</v>
      </c>
      <c r="BW27" s="34">
        <v>0</v>
      </c>
      <c r="BX27" s="34">
        <v>0</v>
      </c>
      <c r="BY27" s="34">
        <v>1</v>
      </c>
      <c r="BZ27" s="34">
        <v>0</v>
      </c>
      <c r="CA27" s="34">
        <v>0</v>
      </c>
      <c r="CB27" s="34">
        <v>1</v>
      </c>
      <c r="CC27" s="34">
        <v>0</v>
      </c>
      <c r="CD27" s="34">
        <v>0</v>
      </c>
      <c r="CE27" s="34">
        <v>0</v>
      </c>
      <c r="CF27" s="34">
        <v>0</v>
      </c>
      <c r="CG27" s="34">
        <v>0</v>
      </c>
      <c r="CH27" s="34" t="s">
        <v>81</v>
      </c>
      <c r="CI27" s="34" t="s">
        <v>81</v>
      </c>
      <c r="CJ27" s="34">
        <v>1</v>
      </c>
      <c r="CK27" s="34" t="s">
        <v>81</v>
      </c>
      <c r="CL27" s="34">
        <v>0</v>
      </c>
      <c r="CM27" s="34">
        <v>0</v>
      </c>
      <c r="CN27" s="34" t="s">
        <v>81</v>
      </c>
      <c r="CO27" s="34" t="s">
        <v>81</v>
      </c>
      <c r="CP27" s="34" t="s">
        <v>81</v>
      </c>
      <c r="CQ27" s="34" t="s">
        <v>81</v>
      </c>
      <c r="CR27" s="34" t="s">
        <v>81</v>
      </c>
      <c r="CS27" s="34">
        <v>6.5</v>
      </c>
      <c r="CT27" s="35">
        <v>40485</v>
      </c>
      <c r="CU27" s="34" t="s">
        <v>81</v>
      </c>
      <c r="CV27" s="34">
        <v>91</v>
      </c>
      <c r="CW27" s="34">
        <v>0.86</v>
      </c>
      <c r="CX27" s="34">
        <v>193</v>
      </c>
      <c r="CY27" s="34">
        <v>136</v>
      </c>
      <c r="CZ27" s="34">
        <v>35</v>
      </c>
      <c r="DA27" s="34">
        <v>30</v>
      </c>
      <c r="DB27" s="34">
        <v>77</v>
      </c>
      <c r="DC27" s="34">
        <v>0.7</v>
      </c>
      <c r="DD27" s="34" t="s">
        <v>81</v>
      </c>
      <c r="DE27" s="34">
        <v>1</v>
      </c>
      <c r="DF27" s="34">
        <v>1</v>
      </c>
      <c r="DG27" s="34">
        <v>0.3</v>
      </c>
      <c r="DH27" s="34">
        <v>136</v>
      </c>
      <c r="DI27" s="34" t="s">
        <v>81</v>
      </c>
      <c r="DJ27" s="34" t="s">
        <v>81</v>
      </c>
      <c r="DK27" s="34">
        <v>41</v>
      </c>
      <c r="DL27" s="34">
        <v>144</v>
      </c>
      <c r="DM27" s="34">
        <v>4.8</v>
      </c>
      <c r="DN27" s="34">
        <v>7200</v>
      </c>
      <c r="DO27" s="34">
        <v>52</v>
      </c>
      <c r="DP27" s="34" t="s">
        <v>81</v>
      </c>
      <c r="DQ27" s="34">
        <v>132</v>
      </c>
      <c r="DR27" s="34">
        <v>40</v>
      </c>
      <c r="DS27" s="34">
        <v>906</v>
      </c>
      <c r="DT27" s="34">
        <v>208</v>
      </c>
      <c r="DU27" s="34">
        <v>14.4</v>
      </c>
      <c r="DV27" s="34">
        <v>100</v>
      </c>
      <c r="DW27" s="34">
        <v>0.99</v>
      </c>
      <c r="DX27" s="34">
        <v>0.7</v>
      </c>
      <c r="DY27" s="34" t="s">
        <v>81</v>
      </c>
      <c r="DZ27" s="34" t="s">
        <v>81</v>
      </c>
      <c r="EA27" s="34">
        <v>0</v>
      </c>
      <c r="EB27" s="34">
        <v>66.94</v>
      </c>
      <c r="EC27" s="34">
        <v>3</v>
      </c>
      <c r="ED27" s="34">
        <v>0</v>
      </c>
      <c r="EE27" s="34">
        <v>1</v>
      </c>
      <c r="EF27" s="34">
        <v>-1</v>
      </c>
      <c r="EG27" s="34">
        <v>3</v>
      </c>
      <c r="EH27" s="34">
        <v>2</v>
      </c>
      <c r="EI27" s="34">
        <v>0</v>
      </c>
      <c r="EJ27" s="34">
        <v>0</v>
      </c>
      <c r="EK27" s="34" t="s">
        <v>81</v>
      </c>
      <c r="EL27" s="34" t="s">
        <v>81</v>
      </c>
      <c r="EM27" s="34" t="s">
        <v>81</v>
      </c>
      <c r="EN27" s="34" t="s">
        <v>81</v>
      </c>
      <c r="EO27" s="34" t="s">
        <v>81</v>
      </c>
      <c r="EP27" s="34" t="s">
        <v>81</v>
      </c>
      <c r="EQ27" s="34" t="s">
        <v>81</v>
      </c>
      <c r="ER27" s="34" t="s">
        <v>81</v>
      </c>
      <c r="ES27" s="34" t="s">
        <v>81</v>
      </c>
      <c r="ET27" s="34" t="s">
        <v>81</v>
      </c>
      <c r="EU27" s="34" t="s">
        <v>81</v>
      </c>
      <c r="EV27" s="34" t="s">
        <v>81</v>
      </c>
      <c r="EW27" s="34" t="s">
        <v>81</v>
      </c>
      <c r="EX27" s="34" t="s">
        <v>81</v>
      </c>
      <c r="EY27" s="34" t="s">
        <v>81</v>
      </c>
      <c r="EZ27" s="34" t="s">
        <v>81</v>
      </c>
      <c r="FA27" s="34" t="s">
        <v>81</v>
      </c>
      <c r="FB27" s="34" t="s">
        <v>81</v>
      </c>
      <c r="FC27" s="34" t="s">
        <v>81</v>
      </c>
      <c r="FD27" s="34" t="s">
        <v>81</v>
      </c>
      <c r="FE27" s="34" t="s">
        <v>81</v>
      </c>
      <c r="FF27" s="34" t="s">
        <v>81</v>
      </c>
      <c r="FG27" s="34" t="s">
        <v>81</v>
      </c>
      <c r="FH27" s="34" t="s">
        <v>81</v>
      </c>
      <c r="FI27" s="34" t="s">
        <v>81</v>
      </c>
      <c r="FJ27" s="34" t="s">
        <v>81</v>
      </c>
      <c r="FK27" s="34" t="s">
        <v>81</v>
      </c>
      <c r="FL27" s="34" t="s">
        <v>81</v>
      </c>
      <c r="FM27" s="34" t="s">
        <v>81</v>
      </c>
      <c r="FN27" s="34" t="s">
        <v>81</v>
      </c>
      <c r="FO27" s="34" t="s">
        <v>81</v>
      </c>
      <c r="FP27" s="34" t="s">
        <v>81</v>
      </c>
      <c r="FQ27" s="34" t="s">
        <v>81</v>
      </c>
      <c r="FR27" s="34" t="s">
        <v>81</v>
      </c>
      <c r="FS27" s="34" t="s">
        <v>81</v>
      </c>
      <c r="FT27" s="34" t="s">
        <v>81</v>
      </c>
      <c r="FU27" s="34" t="s">
        <v>81</v>
      </c>
      <c r="FV27" s="34" t="s">
        <v>81</v>
      </c>
      <c r="FW27" s="34" t="s">
        <v>81</v>
      </c>
      <c r="FX27" s="34" t="s">
        <v>81</v>
      </c>
      <c r="FY27" s="34" t="s">
        <v>81</v>
      </c>
      <c r="FZ27" s="34">
        <v>90</v>
      </c>
      <c r="GA27" s="34">
        <v>52.94</v>
      </c>
    </row>
    <row r="28" spans="1:183" x14ac:dyDescent="0.25">
      <c r="A28" s="34">
        <v>26</v>
      </c>
      <c r="B28" s="4" t="s">
        <v>131</v>
      </c>
      <c r="C28" s="5" t="s">
        <v>732</v>
      </c>
      <c r="D28" s="5" t="s">
        <v>732</v>
      </c>
      <c r="E28" s="34">
        <v>90</v>
      </c>
      <c r="F28" s="34">
        <v>1</v>
      </c>
      <c r="G28" s="34">
        <v>2</v>
      </c>
      <c r="H28" s="34">
        <v>1</v>
      </c>
      <c r="I28" s="34">
        <v>1</v>
      </c>
      <c r="J28" s="35">
        <v>40539</v>
      </c>
      <c r="K28" s="35">
        <v>40546</v>
      </c>
      <c r="L28" s="35">
        <v>22906</v>
      </c>
      <c r="M28" s="34">
        <v>48</v>
      </c>
      <c r="N28" s="34">
        <v>2</v>
      </c>
      <c r="O28" s="34">
        <v>0</v>
      </c>
      <c r="P28" s="34">
        <v>1</v>
      </c>
      <c r="Q28" s="34">
        <v>4</v>
      </c>
      <c r="R28" s="34">
        <v>2</v>
      </c>
      <c r="S28" s="34">
        <v>9</v>
      </c>
      <c r="T28" s="34">
        <v>18</v>
      </c>
      <c r="U28" s="34">
        <v>6.68</v>
      </c>
      <c r="V28" s="34">
        <v>1</v>
      </c>
      <c r="W28" s="34">
        <v>0</v>
      </c>
      <c r="X28" s="34" t="s">
        <v>81</v>
      </c>
      <c r="Y28" s="34" t="s">
        <v>81</v>
      </c>
      <c r="Z28" s="35">
        <v>41156</v>
      </c>
      <c r="AA28" s="34">
        <v>617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1</v>
      </c>
      <c r="AI28" s="34">
        <v>1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  <c r="AR28" s="34">
        <v>0</v>
      </c>
      <c r="AS28" s="34">
        <v>0</v>
      </c>
      <c r="AT28" s="34">
        <v>0</v>
      </c>
      <c r="AU28" s="34">
        <v>0</v>
      </c>
      <c r="AV28" s="34" t="s">
        <v>81</v>
      </c>
      <c r="AW28" s="34" t="s">
        <v>81</v>
      </c>
      <c r="AX28" s="34" t="s">
        <v>81</v>
      </c>
      <c r="AY28" s="34">
        <v>1</v>
      </c>
      <c r="AZ28" s="34">
        <v>2</v>
      </c>
      <c r="BA28" s="34" t="s">
        <v>472</v>
      </c>
      <c r="BB28" s="34" t="s">
        <v>473</v>
      </c>
      <c r="BC28" s="34" t="s">
        <v>474</v>
      </c>
      <c r="BD28" s="34">
        <v>0</v>
      </c>
      <c r="BE28" s="34">
        <v>0</v>
      </c>
      <c r="BF28" s="34">
        <v>0</v>
      </c>
      <c r="BG28" s="34">
        <v>0</v>
      </c>
      <c r="BH28" s="34">
        <v>0</v>
      </c>
      <c r="BI28" s="34">
        <v>0</v>
      </c>
      <c r="BJ28" s="34" t="s">
        <v>81</v>
      </c>
      <c r="BK28" s="34" t="s">
        <v>81</v>
      </c>
      <c r="BL28" s="34" t="s">
        <v>132</v>
      </c>
      <c r="BM28" s="34">
        <v>153</v>
      </c>
      <c r="BN28" s="34">
        <v>90</v>
      </c>
      <c r="BO28" s="34">
        <v>16</v>
      </c>
      <c r="BP28" s="34">
        <v>87</v>
      </c>
      <c r="BQ28" s="34">
        <v>36.6</v>
      </c>
      <c r="BR28" s="34" t="s">
        <v>81</v>
      </c>
      <c r="BS28" s="34">
        <v>0</v>
      </c>
      <c r="BT28" s="34">
        <v>0</v>
      </c>
      <c r="BU28" s="34">
        <v>0</v>
      </c>
      <c r="BV28" s="34">
        <v>0</v>
      </c>
      <c r="BW28" s="34">
        <v>0</v>
      </c>
      <c r="BX28" s="34">
        <v>0</v>
      </c>
      <c r="BY28" s="34">
        <v>1</v>
      </c>
      <c r="BZ28" s="34">
        <v>0</v>
      </c>
      <c r="CA28" s="34">
        <v>0</v>
      </c>
      <c r="CB28" s="34">
        <v>1</v>
      </c>
      <c r="CC28" s="34">
        <v>0</v>
      </c>
      <c r="CD28" s="34">
        <v>0</v>
      </c>
      <c r="CE28" s="34">
        <v>0</v>
      </c>
      <c r="CF28" s="34">
        <v>0</v>
      </c>
      <c r="CG28" s="34">
        <v>0</v>
      </c>
      <c r="CH28" s="34" t="s">
        <v>81</v>
      </c>
      <c r="CI28" s="34" t="s">
        <v>81</v>
      </c>
      <c r="CJ28" s="34">
        <v>1</v>
      </c>
      <c r="CK28" s="34" t="s">
        <v>81</v>
      </c>
      <c r="CL28" s="34">
        <v>0</v>
      </c>
      <c r="CM28" s="34">
        <v>0</v>
      </c>
      <c r="CN28" s="34" t="s">
        <v>81</v>
      </c>
      <c r="CO28" s="34" t="s">
        <v>81</v>
      </c>
      <c r="CP28" s="34" t="s">
        <v>81</v>
      </c>
      <c r="CQ28" s="34" t="s">
        <v>81</v>
      </c>
      <c r="CR28" s="34" t="s">
        <v>81</v>
      </c>
      <c r="CS28" s="34">
        <v>15</v>
      </c>
      <c r="CT28" s="35">
        <v>40539</v>
      </c>
      <c r="CU28" s="34">
        <v>5.84</v>
      </c>
      <c r="CV28" s="34">
        <v>90</v>
      </c>
      <c r="CW28" s="34">
        <v>0.5</v>
      </c>
      <c r="CX28" s="34">
        <v>231</v>
      </c>
      <c r="CY28" s="34">
        <v>165</v>
      </c>
      <c r="CZ28" s="34">
        <v>112</v>
      </c>
      <c r="DA28" s="34">
        <v>47</v>
      </c>
      <c r="DB28" s="34">
        <v>1075</v>
      </c>
      <c r="DC28" s="34">
        <v>4.8</v>
      </c>
      <c r="DD28" s="34" t="s">
        <v>81</v>
      </c>
      <c r="DE28" s="34">
        <v>1</v>
      </c>
      <c r="DF28" s="34">
        <v>4.8</v>
      </c>
      <c r="DG28" s="34" t="s">
        <v>81</v>
      </c>
      <c r="DH28" s="34">
        <v>393</v>
      </c>
      <c r="DI28" s="34" t="s">
        <v>81</v>
      </c>
      <c r="DJ28" s="34" t="s">
        <v>81</v>
      </c>
      <c r="DK28" s="34">
        <v>37</v>
      </c>
      <c r="DL28" s="34">
        <v>139</v>
      </c>
      <c r="DM28" s="34">
        <v>3</v>
      </c>
      <c r="DN28" s="34">
        <v>6700</v>
      </c>
      <c r="DO28" s="34">
        <v>69</v>
      </c>
      <c r="DP28" s="34" t="s">
        <v>81</v>
      </c>
      <c r="DQ28" s="34">
        <v>148</v>
      </c>
      <c r="DR28" s="34">
        <v>42</v>
      </c>
      <c r="DS28" s="34">
        <v>980</v>
      </c>
      <c r="DT28" s="34">
        <v>67</v>
      </c>
      <c r="DU28" s="34">
        <v>13.9</v>
      </c>
      <c r="DV28" s="34">
        <v>43.4</v>
      </c>
      <c r="DW28" s="34">
        <v>1.68</v>
      </c>
      <c r="DX28" s="34">
        <v>3.1</v>
      </c>
      <c r="DY28" s="34" t="s">
        <v>81</v>
      </c>
      <c r="DZ28" s="34" t="s">
        <v>81</v>
      </c>
      <c r="EA28" s="34">
        <v>0</v>
      </c>
      <c r="EB28" s="34">
        <v>68.739999999999995</v>
      </c>
      <c r="EC28" s="34">
        <v>3</v>
      </c>
      <c r="ED28" s="34">
        <v>0</v>
      </c>
      <c r="EE28" s="34">
        <v>1</v>
      </c>
      <c r="EF28" s="34">
        <v>0</v>
      </c>
      <c r="EG28" s="34">
        <v>4</v>
      </c>
      <c r="EH28" s="34">
        <v>2</v>
      </c>
      <c r="EI28" s="34">
        <v>0</v>
      </c>
      <c r="EJ28" s="34">
        <v>0</v>
      </c>
      <c r="EK28" s="34" t="s">
        <v>81</v>
      </c>
      <c r="EL28" s="34" t="s">
        <v>81</v>
      </c>
      <c r="EM28" s="34">
        <v>0.6</v>
      </c>
      <c r="EN28" s="34" t="s">
        <v>81</v>
      </c>
      <c r="EO28" s="34">
        <v>0.4</v>
      </c>
      <c r="EP28" s="34" t="s">
        <v>81</v>
      </c>
      <c r="EQ28" s="34" t="s">
        <v>81</v>
      </c>
      <c r="ER28" s="34" t="s">
        <v>81</v>
      </c>
      <c r="ES28" s="34">
        <v>0.4</v>
      </c>
      <c r="ET28" s="34">
        <v>0.6</v>
      </c>
      <c r="EU28" s="34" t="s">
        <v>81</v>
      </c>
      <c r="EV28" s="34" t="s">
        <v>81</v>
      </c>
      <c r="EW28" s="34" t="s">
        <v>81</v>
      </c>
      <c r="EX28" s="34" t="s">
        <v>81</v>
      </c>
      <c r="EY28" s="34" t="s">
        <v>81</v>
      </c>
      <c r="EZ28" s="34" t="s">
        <v>81</v>
      </c>
      <c r="FA28" s="34" t="s">
        <v>81</v>
      </c>
      <c r="FB28" s="34" t="s">
        <v>81</v>
      </c>
      <c r="FC28" s="34" t="s">
        <v>81</v>
      </c>
      <c r="FD28" s="34" t="s">
        <v>81</v>
      </c>
      <c r="FE28" s="34" t="s">
        <v>81</v>
      </c>
      <c r="FF28" s="34" t="s">
        <v>81</v>
      </c>
      <c r="FG28" s="34" t="s">
        <v>81</v>
      </c>
      <c r="FH28" s="34" t="s">
        <v>81</v>
      </c>
      <c r="FI28" s="34" t="s">
        <v>81</v>
      </c>
      <c r="FJ28" s="34" t="s">
        <v>81</v>
      </c>
      <c r="FK28" s="34" t="s">
        <v>81</v>
      </c>
      <c r="FL28" s="34" t="s">
        <v>81</v>
      </c>
      <c r="FM28" s="34" t="s">
        <v>81</v>
      </c>
      <c r="FN28" s="34" t="s">
        <v>81</v>
      </c>
      <c r="FO28" s="34" t="s">
        <v>81</v>
      </c>
      <c r="FP28" s="34" t="s">
        <v>81</v>
      </c>
      <c r="FQ28" s="34" t="s">
        <v>81</v>
      </c>
      <c r="FR28" s="34" t="s">
        <v>81</v>
      </c>
      <c r="FS28" s="34" t="s">
        <v>81</v>
      </c>
      <c r="FT28" s="34" t="s">
        <v>81</v>
      </c>
      <c r="FU28" s="34" t="s">
        <v>81</v>
      </c>
      <c r="FV28" s="34" t="s">
        <v>81</v>
      </c>
      <c r="FW28" s="34" t="s">
        <v>81</v>
      </c>
      <c r="FX28" s="34" t="s">
        <v>81</v>
      </c>
      <c r="FY28" s="34" t="s">
        <v>81</v>
      </c>
      <c r="FZ28" s="34">
        <v>90</v>
      </c>
      <c r="GA28" s="34">
        <v>54.74</v>
      </c>
    </row>
    <row r="29" spans="1:183" x14ac:dyDescent="0.25">
      <c r="A29" s="34">
        <v>27</v>
      </c>
      <c r="B29" s="4" t="s">
        <v>133</v>
      </c>
      <c r="C29" s="5" t="s">
        <v>732</v>
      </c>
      <c r="D29" s="5" t="s">
        <v>732</v>
      </c>
      <c r="E29" s="34">
        <v>90</v>
      </c>
      <c r="F29" s="34">
        <v>1</v>
      </c>
      <c r="G29" s="34">
        <v>2</v>
      </c>
      <c r="H29" s="34">
        <v>1</v>
      </c>
      <c r="I29" s="34">
        <v>1</v>
      </c>
      <c r="J29" s="35">
        <v>40268</v>
      </c>
      <c r="K29" s="35">
        <v>40268</v>
      </c>
      <c r="L29" s="35">
        <v>20396</v>
      </c>
      <c r="M29" s="34">
        <v>54</v>
      </c>
      <c r="N29" s="34">
        <v>2</v>
      </c>
      <c r="O29" s="34">
        <v>1</v>
      </c>
      <c r="P29" s="34">
        <v>1</v>
      </c>
      <c r="Q29" s="34">
        <v>4</v>
      </c>
      <c r="R29" s="34">
        <v>1</v>
      </c>
      <c r="S29" s="34">
        <v>5</v>
      </c>
      <c r="T29" s="34">
        <v>19</v>
      </c>
      <c r="U29" s="34">
        <v>6.64</v>
      </c>
      <c r="V29" s="34">
        <v>1</v>
      </c>
      <c r="W29" s="34">
        <v>0</v>
      </c>
      <c r="X29" s="34" t="s">
        <v>81</v>
      </c>
      <c r="Y29" s="34" t="s">
        <v>81</v>
      </c>
      <c r="Z29" s="35">
        <v>41016</v>
      </c>
      <c r="AA29" s="34">
        <v>748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  <c r="AR29" s="34">
        <v>0</v>
      </c>
      <c r="AS29" s="34">
        <v>0</v>
      </c>
      <c r="AT29" s="34" t="s">
        <v>81</v>
      </c>
      <c r="AU29" s="34">
        <v>0</v>
      </c>
      <c r="AV29" s="34" t="s">
        <v>81</v>
      </c>
      <c r="AW29" s="34" t="s">
        <v>81</v>
      </c>
      <c r="AX29" s="34" t="s">
        <v>81</v>
      </c>
      <c r="AY29" s="34">
        <v>0</v>
      </c>
      <c r="AZ29" s="34" t="s">
        <v>81</v>
      </c>
      <c r="BA29" s="34" t="s">
        <v>81</v>
      </c>
      <c r="BB29" s="34" t="s">
        <v>81</v>
      </c>
      <c r="BC29" s="34" t="s">
        <v>81</v>
      </c>
      <c r="BD29" s="34">
        <v>0</v>
      </c>
      <c r="BE29" s="34">
        <v>0</v>
      </c>
      <c r="BF29" s="34">
        <v>0</v>
      </c>
      <c r="BG29" s="34">
        <v>0</v>
      </c>
      <c r="BH29" s="34">
        <v>0</v>
      </c>
      <c r="BI29" s="34">
        <v>0</v>
      </c>
      <c r="BJ29" s="34" t="s">
        <v>81</v>
      </c>
      <c r="BK29" s="34" t="s">
        <v>81</v>
      </c>
      <c r="BL29" s="34" t="s">
        <v>134</v>
      </c>
      <c r="BM29" s="34" t="s">
        <v>81</v>
      </c>
      <c r="BN29" s="34" t="s">
        <v>81</v>
      </c>
      <c r="BO29" s="34" t="s">
        <v>81</v>
      </c>
      <c r="BP29" s="34" t="s">
        <v>81</v>
      </c>
      <c r="BQ29" s="34" t="s">
        <v>81</v>
      </c>
      <c r="BR29" s="34" t="s">
        <v>81</v>
      </c>
      <c r="BS29" s="34" t="s">
        <v>81</v>
      </c>
      <c r="BT29" s="34" t="s">
        <v>81</v>
      </c>
      <c r="BU29" s="34" t="s">
        <v>81</v>
      </c>
      <c r="BV29" s="34">
        <v>0</v>
      </c>
      <c r="BW29" s="34">
        <v>0</v>
      </c>
      <c r="BX29" s="34" t="s">
        <v>81</v>
      </c>
      <c r="BY29" s="34" t="s">
        <v>81</v>
      </c>
      <c r="BZ29" s="34">
        <v>0</v>
      </c>
      <c r="CA29" s="34">
        <v>0</v>
      </c>
      <c r="CB29" s="34">
        <v>1</v>
      </c>
      <c r="CC29" s="34">
        <v>0</v>
      </c>
      <c r="CD29" s="34">
        <v>0</v>
      </c>
      <c r="CE29" s="34">
        <v>0</v>
      </c>
      <c r="CF29" s="34">
        <v>0</v>
      </c>
      <c r="CG29" s="34">
        <v>0</v>
      </c>
      <c r="CH29" s="34" t="s">
        <v>81</v>
      </c>
      <c r="CI29" s="34" t="s">
        <v>81</v>
      </c>
      <c r="CJ29" s="34">
        <v>1</v>
      </c>
      <c r="CK29" s="34" t="s">
        <v>81</v>
      </c>
      <c r="CL29" s="34">
        <v>0</v>
      </c>
      <c r="CM29" s="34">
        <v>0</v>
      </c>
      <c r="CN29" s="34" t="s">
        <v>81</v>
      </c>
      <c r="CO29" s="34" t="s">
        <v>81</v>
      </c>
      <c r="CP29" s="34" t="s">
        <v>81</v>
      </c>
      <c r="CQ29" s="34" t="s">
        <v>81</v>
      </c>
      <c r="CR29" s="34" t="s">
        <v>81</v>
      </c>
      <c r="CS29" s="34">
        <v>11</v>
      </c>
      <c r="CT29" s="35">
        <v>40268</v>
      </c>
      <c r="CU29" s="34">
        <v>0.01</v>
      </c>
      <c r="CV29" s="34">
        <v>143</v>
      </c>
      <c r="CW29" s="34">
        <v>0.65</v>
      </c>
      <c r="CX29" s="34">
        <v>103</v>
      </c>
      <c r="CY29" s="34">
        <v>70</v>
      </c>
      <c r="CZ29" s="34">
        <v>54</v>
      </c>
      <c r="DA29" s="34">
        <v>43</v>
      </c>
      <c r="DB29" s="34">
        <v>148</v>
      </c>
      <c r="DC29" s="34">
        <v>0.8</v>
      </c>
      <c r="DD29" s="34" t="s">
        <v>81</v>
      </c>
      <c r="DE29" s="34">
        <v>1</v>
      </c>
      <c r="DF29" s="34">
        <v>1</v>
      </c>
      <c r="DG29" s="34">
        <v>0.4</v>
      </c>
      <c r="DH29" s="34">
        <v>493</v>
      </c>
      <c r="DI29" s="34" t="s">
        <v>81</v>
      </c>
      <c r="DJ29" s="34" t="s">
        <v>81</v>
      </c>
      <c r="DK29" s="34">
        <v>36</v>
      </c>
      <c r="DL29" s="34">
        <v>137</v>
      </c>
      <c r="DM29" s="34">
        <v>4.5999999999999996</v>
      </c>
      <c r="DN29" s="34">
        <v>7640</v>
      </c>
      <c r="DO29" s="34">
        <v>48</v>
      </c>
      <c r="DP29" s="34" t="s">
        <v>81</v>
      </c>
      <c r="DQ29" s="34">
        <v>100</v>
      </c>
      <c r="DR29" s="34">
        <v>32</v>
      </c>
      <c r="DS29" s="34">
        <v>872</v>
      </c>
      <c r="DT29" s="34">
        <v>157</v>
      </c>
      <c r="DU29" s="34">
        <v>13.7</v>
      </c>
      <c r="DV29" s="34">
        <v>74</v>
      </c>
      <c r="DW29" s="34">
        <v>1.23</v>
      </c>
      <c r="DX29" s="34" t="s">
        <v>81</v>
      </c>
      <c r="DY29" s="34" t="s">
        <v>81</v>
      </c>
      <c r="DZ29" s="34" t="s">
        <v>81</v>
      </c>
      <c r="EA29" s="34">
        <v>0</v>
      </c>
      <c r="EB29" s="34">
        <v>63.82</v>
      </c>
      <c r="EC29" s="34">
        <v>3</v>
      </c>
      <c r="ED29" s="34">
        <v>0</v>
      </c>
      <c r="EE29" s="34">
        <v>1</v>
      </c>
      <c r="EF29" s="34">
        <v>0</v>
      </c>
      <c r="EG29" s="34">
        <v>4</v>
      </c>
      <c r="EH29" s="34">
        <v>2</v>
      </c>
      <c r="EI29" s="34" t="s">
        <v>81</v>
      </c>
      <c r="EJ29" s="34">
        <v>0</v>
      </c>
      <c r="EK29" s="34" t="s">
        <v>81</v>
      </c>
      <c r="EL29" s="34" t="s">
        <v>81</v>
      </c>
      <c r="EM29" s="34">
        <v>0.65</v>
      </c>
      <c r="EN29" s="34" t="s">
        <v>81</v>
      </c>
      <c r="EO29" s="34" t="s">
        <v>81</v>
      </c>
      <c r="EP29" s="34" t="s">
        <v>81</v>
      </c>
      <c r="EQ29" s="34" t="s">
        <v>81</v>
      </c>
      <c r="ER29" s="34" t="s">
        <v>81</v>
      </c>
      <c r="ES29" s="34" t="s">
        <v>81</v>
      </c>
      <c r="ET29" s="34" t="s">
        <v>81</v>
      </c>
      <c r="EU29" s="34" t="s">
        <v>81</v>
      </c>
      <c r="EV29" s="34" t="s">
        <v>81</v>
      </c>
      <c r="EW29" s="34" t="s">
        <v>81</v>
      </c>
      <c r="EX29" s="34" t="s">
        <v>81</v>
      </c>
      <c r="EY29" s="34" t="s">
        <v>81</v>
      </c>
      <c r="EZ29" s="34" t="s">
        <v>81</v>
      </c>
      <c r="FA29" s="34" t="s">
        <v>81</v>
      </c>
      <c r="FB29" s="34" t="s">
        <v>81</v>
      </c>
      <c r="FC29" s="34" t="s">
        <v>81</v>
      </c>
      <c r="FD29" s="34" t="s">
        <v>81</v>
      </c>
      <c r="FE29" s="34" t="s">
        <v>81</v>
      </c>
      <c r="FF29" s="34" t="s">
        <v>81</v>
      </c>
      <c r="FG29" s="34" t="s">
        <v>81</v>
      </c>
      <c r="FH29" s="34" t="s">
        <v>81</v>
      </c>
      <c r="FI29" s="34" t="s">
        <v>81</v>
      </c>
      <c r="FJ29" s="34" t="s">
        <v>81</v>
      </c>
      <c r="FK29" s="34" t="s">
        <v>81</v>
      </c>
      <c r="FL29" s="34" t="s">
        <v>81</v>
      </c>
      <c r="FM29" s="34" t="s">
        <v>81</v>
      </c>
      <c r="FN29" s="34" t="s">
        <v>81</v>
      </c>
      <c r="FO29" s="34" t="s">
        <v>81</v>
      </c>
      <c r="FP29" s="34" t="s">
        <v>81</v>
      </c>
      <c r="FQ29" s="34" t="s">
        <v>81</v>
      </c>
      <c r="FR29" s="34" t="s">
        <v>81</v>
      </c>
      <c r="FS29" s="34" t="s">
        <v>81</v>
      </c>
      <c r="FT29" s="34" t="s">
        <v>81</v>
      </c>
      <c r="FU29" s="34" t="s">
        <v>81</v>
      </c>
      <c r="FV29" s="34" t="s">
        <v>81</v>
      </c>
      <c r="FW29" s="34" t="s">
        <v>81</v>
      </c>
      <c r="FX29" s="34" t="s">
        <v>81</v>
      </c>
      <c r="FY29" s="34" t="s">
        <v>81</v>
      </c>
      <c r="FZ29" s="34">
        <v>90</v>
      </c>
      <c r="GA29" s="34">
        <v>49.82</v>
      </c>
    </row>
    <row r="30" spans="1:183" x14ac:dyDescent="0.25">
      <c r="A30" s="34">
        <v>28</v>
      </c>
      <c r="B30" s="4" t="s">
        <v>135</v>
      </c>
      <c r="C30" s="5" t="s">
        <v>732</v>
      </c>
      <c r="D30" s="5" t="s">
        <v>732</v>
      </c>
      <c r="E30" s="34">
        <v>90</v>
      </c>
      <c r="F30" s="34">
        <v>1</v>
      </c>
      <c r="G30" s="34">
        <v>2</v>
      </c>
      <c r="H30" s="34">
        <v>1</v>
      </c>
      <c r="I30" s="34">
        <v>1</v>
      </c>
      <c r="J30" s="35">
        <v>40821</v>
      </c>
      <c r="K30" s="35">
        <v>40822</v>
      </c>
      <c r="L30" s="35">
        <v>28218</v>
      </c>
      <c r="M30" s="34">
        <v>34</v>
      </c>
      <c r="N30" s="34">
        <v>1</v>
      </c>
      <c r="O30" s="34">
        <v>1</v>
      </c>
      <c r="P30" s="34">
        <v>0</v>
      </c>
      <c r="Q30" s="34">
        <v>3</v>
      </c>
      <c r="R30" s="34">
        <v>2</v>
      </c>
      <c r="S30" s="34">
        <v>7</v>
      </c>
      <c r="T30" s="34">
        <v>13</v>
      </c>
      <c r="U30" s="34">
        <v>4.82</v>
      </c>
      <c r="V30" s="34">
        <v>1</v>
      </c>
      <c r="W30" s="34">
        <v>0</v>
      </c>
      <c r="X30" s="34" t="s">
        <v>81</v>
      </c>
      <c r="Y30" s="34" t="s">
        <v>81</v>
      </c>
      <c r="Z30" s="35">
        <v>41140</v>
      </c>
      <c r="AA30" s="34">
        <v>319</v>
      </c>
      <c r="AB30" s="34">
        <v>0</v>
      </c>
      <c r="AC30" s="34">
        <v>0</v>
      </c>
      <c r="AD30" s="34">
        <v>0</v>
      </c>
      <c r="AE30" s="34" t="s">
        <v>81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  <c r="AR30" s="34">
        <v>0</v>
      </c>
      <c r="AS30" s="34">
        <v>0</v>
      </c>
      <c r="AT30" s="34">
        <v>0</v>
      </c>
      <c r="AU30" s="34">
        <v>0</v>
      </c>
      <c r="AV30" s="34" t="s">
        <v>81</v>
      </c>
      <c r="AW30" s="34" t="s">
        <v>81</v>
      </c>
      <c r="AX30" s="34" t="s">
        <v>81</v>
      </c>
      <c r="AY30" s="34">
        <v>0</v>
      </c>
      <c r="AZ30" s="34" t="s">
        <v>81</v>
      </c>
      <c r="BA30" s="34" t="s">
        <v>81</v>
      </c>
      <c r="BB30" s="34" t="s">
        <v>81</v>
      </c>
      <c r="BC30" s="34" t="s">
        <v>81</v>
      </c>
      <c r="BD30" s="34">
        <v>0</v>
      </c>
      <c r="BE30" s="34">
        <v>0</v>
      </c>
      <c r="BF30" s="34">
        <v>0</v>
      </c>
      <c r="BG30" s="34">
        <v>0</v>
      </c>
      <c r="BH30" s="34">
        <v>0</v>
      </c>
      <c r="BI30" s="34">
        <v>0</v>
      </c>
      <c r="BJ30" s="34" t="s">
        <v>81</v>
      </c>
      <c r="BK30" s="34" t="s">
        <v>81</v>
      </c>
      <c r="BL30" s="34" t="s">
        <v>136</v>
      </c>
      <c r="BM30" s="34">
        <v>135</v>
      </c>
      <c r="BN30" s="34">
        <v>85</v>
      </c>
      <c r="BO30" s="34">
        <v>22</v>
      </c>
      <c r="BP30" s="34">
        <v>102</v>
      </c>
      <c r="BQ30" s="34">
        <v>37.799999999999997</v>
      </c>
      <c r="BR30" s="34" t="s">
        <v>81</v>
      </c>
      <c r="BS30" s="34">
        <v>0</v>
      </c>
      <c r="BT30" s="34">
        <v>1</v>
      </c>
      <c r="BU30" s="34">
        <v>1</v>
      </c>
      <c r="BV30" s="34">
        <v>0</v>
      </c>
      <c r="BW30" s="34">
        <v>2</v>
      </c>
      <c r="BX30" s="34">
        <v>1</v>
      </c>
      <c r="BY30" s="34">
        <v>2</v>
      </c>
      <c r="BZ30" s="34">
        <v>0</v>
      </c>
      <c r="CA30" s="34">
        <v>0</v>
      </c>
      <c r="CB30" s="34">
        <v>1</v>
      </c>
      <c r="CC30" s="34">
        <v>0</v>
      </c>
      <c r="CD30" s="34">
        <v>0</v>
      </c>
      <c r="CE30" s="34">
        <v>0</v>
      </c>
      <c r="CF30" s="34">
        <v>0</v>
      </c>
      <c r="CG30" s="34">
        <v>0</v>
      </c>
      <c r="CH30" s="34" t="s">
        <v>81</v>
      </c>
      <c r="CI30" s="34" t="s">
        <v>81</v>
      </c>
      <c r="CJ30" s="34">
        <v>1</v>
      </c>
      <c r="CK30" s="34" t="s">
        <v>81</v>
      </c>
      <c r="CL30" s="34">
        <v>0</v>
      </c>
      <c r="CM30" s="34">
        <v>0</v>
      </c>
      <c r="CN30" s="34" t="s">
        <v>81</v>
      </c>
      <c r="CO30" s="34" t="s">
        <v>81</v>
      </c>
      <c r="CP30" s="34" t="s">
        <v>81</v>
      </c>
      <c r="CQ30" s="34" t="s">
        <v>81</v>
      </c>
      <c r="CR30" s="34" t="s">
        <v>81</v>
      </c>
      <c r="CS30" s="34">
        <v>8</v>
      </c>
      <c r="CT30" s="35">
        <v>40821</v>
      </c>
      <c r="CU30" s="34">
        <v>0.08</v>
      </c>
      <c r="CV30" s="34">
        <v>76</v>
      </c>
      <c r="CW30" s="34">
        <v>0.69</v>
      </c>
      <c r="CX30" s="34">
        <v>131</v>
      </c>
      <c r="CY30" s="34">
        <v>67</v>
      </c>
      <c r="CZ30" s="34">
        <v>373</v>
      </c>
      <c r="DA30" s="34">
        <v>36</v>
      </c>
      <c r="DB30" s="34">
        <v>2940</v>
      </c>
      <c r="DC30" s="34">
        <v>3.8</v>
      </c>
      <c r="DD30" s="34" t="s">
        <v>81</v>
      </c>
      <c r="DE30" s="34">
        <v>1</v>
      </c>
      <c r="DF30" s="34">
        <v>3.8</v>
      </c>
      <c r="DG30" s="34" t="s">
        <v>81</v>
      </c>
      <c r="DH30" s="34">
        <v>314</v>
      </c>
      <c r="DI30" s="34" t="s">
        <v>81</v>
      </c>
      <c r="DJ30" s="34">
        <v>66</v>
      </c>
      <c r="DK30" s="34">
        <v>39</v>
      </c>
      <c r="DL30" s="34">
        <v>137</v>
      </c>
      <c r="DM30" s="34">
        <v>3.8</v>
      </c>
      <c r="DN30" s="34">
        <v>7800</v>
      </c>
      <c r="DO30" s="34">
        <v>75.599999999999994</v>
      </c>
      <c r="DP30" s="34" t="s">
        <v>81</v>
      </c>
      <c r="DQ30" s="34">
        <v>144</v>
      </c>
      <c r="DR30" s="34">
        <v>45</v>
      </c>
      <c r="DS30" s="34">
        <v>112</v>
      </c>
      <c r="DT30" s="34">
        <v>166</v>
      </c>
      <c r="DU30" s="34">
        <v>12.2</v>
      </c>
      <c r="DV30" s="34">
        <v>81.7</v>
      </c>
      <c r="DW30" s="34">
        <v>1.1299999999999999</v>
      </c>
      <c r="DX30" s="34">
        <v>0.4</v>
      </c>
      <c r="DY30" s="34" t="s">
        <v>81</v>
      </c>
      <c r="DZ30" s="34" t="s">
        <v>81</v>
      </c>
      <c r="EA30" s="34">
        <v>0</v>
      </c>
      <c r="EB30" s="34">
        <v>59.92</v>
      </c>
      <c r="EC30" s="34">
        <v>3</v>
      </c>
      <c r="ED30" s="34">
        <v>0</v>
      </c>
      <c r="EE30" s="34">
        <v>3</v>
      </c>
      <c r="EF30" s="34">
        <v>-1</v>
      </c>
      <c r="EG30" s="34">
        <v>5</v>
      </c>
      <c r="EH30" s="34">
        <v>2</v>
      </c>
      <c r="EI30" s="34">
        <v>0</v>
      </c>
      <c r="EJ30" s="34">
        <v>0</v>
      </c>
      <c r="EK30" s="34" t="s">
        <v>81</v>
      </c>
      <c r="EL30" s="34" t="s">
        <v>81</v>
      </c>
      <c r="EM30" s="34">
        <v>0.7</v>
      </c>
      <c r="EN30" s="34">
        <v>0.8</v>
      </c>
      <c r="EO30" s="34">
        <v>0.7</v>
      </c>
      <c r="EP30" s="34" t="s">
        <v>81</v>
      </c>
      <c r="EQ30" s="34" t="s">
        <v>81</v>
      </c>
      <c r="ER30" s="34" t="s">
        <v>81</v>
      </c>
      <c r="ES30" s="34">
        <v>0.7</v>
      </c>
      <c r="ET30" s="34" t="s">
        <v>81</v>
      </c>
      <c r="EU30" s="34" t="s">
        <v>81</v>
      </c>
      <c r="EV30" s="34" t="s">
        <v>81</v>
      </c>
      <c r="EW30" s="34" t="s">
        <v>81</v>
      </c>
      <c r="EX30" s="34" t="s">
        <v>81</v>
      </c>
      <c r="EY30" s="34" t="s">
        <v>81</v>
      </c>
      <c r="EZ30" s="34" t="s">
        <v>81</v>
      </c>
      <c r="FA30" s="34" t="s">
        <v>81</v>
      </c>
      <c r="FB30" s="34" t="s">
        <v>81</v>
      </c>
      <c r="FC30" s="34" t="s">
        <v>81</v>
      </c>
      <c r="FD30" s="34" t="s">
        <v>81</v>
      </c>
      <c r="FE30" s="34" t="s">
        <v>81</v>
      </c>
      <c r="FF30" s="34" t="s">
        <v>81</v>
      </c>
      <c r="FG30" s="34" t="s">
        <v>81</v>
      </c>
      <c r="FH30" s="34" t="s">
        <v>81</v>
      </c>
      <c r="FI30" s="34" t="s">
        <v>81</v>
      </c>
      <c r="FJ30" s="34" t="s">
        <v>81</v>
      </c>
      <c r="FK30" s="34" t="s">
        <v>81</v>
      </c>
      <c r="FL30" s="34" t="s">
        <v>81</v>
      </c>
      <c r="FM30" s="34" t="s">
        <v>81</v>
      </c>
      <c r="FN30" s="34" t="s">
        <v>81</v>
      </c>
      <c r="FO30" s="34" t="s">
        <v>81</v>
      </c>
      <c r="FP30" s="34" t="s">
        <v>81</v>
      </c>
      <c r="FQ30" s="34" t="s">
        <v>81</v>
      </c>
      <c r="FR30" s="34" t="s">
        <v>81</v>
      </c>
      <c r="FS30" s="34" t="s">
        <v>81</v>
      </c>
      <c r="FT30" s="34" t="s">
        <v>81</v>
      </c>
      <c r="FU30" s="34" t="s">
        <v>81</v>
      </c>
      <c r="FV30" s="34" t="s">
        <v>81</v>
      </c>
      <c r="FW30" s="34" t="s">
        <v>81</v>
      </c>
      <c r="FX30" s="34" t="s">
        <v>81</v>
      </c>
      <c r="FY30" s="34" t="s">
        <v>81</v>
      </c>
      <c r="FZ30" s="34">
        <v>90</v>
      </c>
      <c r="GA30" s="34">
        <v>45.92</v>
      </c>
    </row>
    <row r="31" spans="1:183" x14ac:dyDescent="0.25">
      <c r="A31" s="34">
        <v>29</v>
      </c>
      <c r="B31" s="4" t="s">
        <v>137</v>
      </c>
      <c r="C31" s="5" t="s">
        <v>732</v>
      </c>
      <c r="D31" s="5" t="s">
        <v>732</v>
      </c>
      <c r="E31" s="34">
        <v>90</v>
      </c>
      <c r="F31" s="34">
        <v>0</v>
      </c>
      <c r="G31" s="34">
        <v>2</v>
      </c>
      <c r="H31" s="34">
        <v>1</v>
      </c>
      <c r="I31" s="34">
        <v>1</v>
      </c>
      <c r="J31" s="35">
        <v>40905</v>
      </c>
      <c r="K31" s="35">
        <v>41272</v>
      </c>
      <c r="L31" s="35">
        <v>24134</v>
      </c>
      <c r="M31" s="34">
        <v>45</v>
      </c>
      <c r="N31" s="34">
        <v>2</v>
      </c>
      <c r="O31" s="34">
        <v>1</v>
      </c>
      <c r="P31" s="34">
        <v>0</v>
      </c>
      <c r="Q31" s="34">
        <v>1</v>
      </c>
      <c r="R31" s="34">
        <v>2</v>
      </c>
      <c r="S31" s="34">
        <v>8</v>
      </c>
      <c r="T31" s="34">
        <v>15</v>
      </c>
      <c r="U31" s="34">
        <v>6.05</v>
      </c>
      <c r="V31" s="34">
        <v>1</v>
      </c>
      <c r="W31" s="34">
        <v>0</v>
      </c>
      <c r="X31" s="34" t="s">
        <v>81</v>
      </c>
      <c r="Y31" s="34" t="s">
        <v>81</v>
      </c>
      <c r="Z31" s="35">
        <v>41160</v>
      </c>
      <c r="AA31" s="34">
        <v>255</v>
      </c>
      <c r="AB31" s="34">
        <v>0</v>
      </c>
      <c r="AC31" s="34">
        <v>0</v>
      </c>
      <c r="AD31" s="34">
        <v>0</v>
      </c>
      <c r="AE31" s="34" t="s">
        <v>81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  <c r="AR31" s="34">
        <v>0</v>
      </c>
      <c r="AS31" s="34">
        <v>0</v>
      </c>
      <c r="AT31" s="34">
        <v>0</v>
      </c>
      <c r="AU31" s="34">
        <v>0</v>
      </c>
      <c r="AV31" s="34" t="s">
        <v>81</v>
      </c>
      <c r="AW31" s="34" t="s">
        <v>81</v>
      </c>
      <c r="AX31" s="34" t="s">
        <v>81</v>
      </c>
      <c r="AY31" s="34">
        <v>0</v>
      </c>
      <c r="AZ31" s="34" t="s">
        <v>81</v>
      </c>
      <c r="BA31" s="34" t="s">
        <v>81</v>
      </c>
      <c r="BB31" s="34" t="s">
        <v>81</v>
      </c>
      <c r="BC31" s="34" t="s">
        <v>81</v>
      </c>
      <c r="BD31" s="34">
        <v>0</v>
      </c>
      <c r="BE31" s="34">
        <v>0</v>
      </c>
      <c r="BF31" s="34">
        <v>0</v>
      </c>
      <c r="BG31" s="34">
        <v>0</v>
      </c>
      <c r="BH31" s="34">
        <v>0</v>
      </c>
      <c r="BI31" s="34">
        <v>0</v>
      </c>
      <c r="BJ31" s="34" t="s">
        <v>81</v>
      </c>
      <c r="BK31" s="34" t="s">
        <v>81</v>
      </c>
      <c r="BL31" s="34" t="s">
        <v>81</v>
      </c>
      <c r="BM31" s="34">
        <v>149</v>
      </c>
      <c r="BN31" s="34">
        <v>106</v>
      </c>
      <c r="BO31" s="34" t="s">
        <v>81</v>
      </c>
      <c r="BP31" s="34">
        <v>109</v>
      </c>
      <c r="BQ31" s="34">
        <v>36.4</v>
      </c>
      <c r="BR31" s="34" t="s">
        <v>138</v>
      </c>
      <c r="BS31" s="34">
        <v>0</v>
      </c>
      <c r="BT31" s="34">
        <v>1</v>
      </c>
      <c r="BU31" s="34">
        <v>0</v>
      </c>
      <c r="BV31" s="34">
        <v>0</v>
      </c>
      <c r="BW31" s="34">
        <v>1</v>
      </c>
      <c r="BX31" s="34">
        <v>0</v>
      </c>
      <c r="BY31" s="34">
        <v>1</v>
      </c>
      <c r="BZ31" s="34">
        <v>0</v>
      </c>
      <c r="CA31" s="34">
        <v>0</v>
      </c>
      <c r="CB31" s="34">
        <v>1</v>
      </c>
      <c r="CC31" s="34">
        <v>0</v>
      </c>
      <c r="CD31" s="34">
        <v>0</v>
      </c>
      <c r="CE31" s="34">
        <v>0</v>
      </c>
      <c r="CF31" s="34">
        <v>0</v>
      </c>
      <c r="CG31" s="34">
        <v>0</v>
      </c>
      <c r="CH31" s="34" t="s">
        <v>81</v>
      </c>
      <c r="CI31" s="34" t="s">
        <v>81</v>
      </c>
      <c r="CJ31" s="34">
        <v>1</v>
      </c>
      <c r="CK31" s="34" t="s">
        <v>81</v>
      </c>
      <c r="CL31" s="34">
        <v>0</v>
      </c>
      <c r="CM31" s="34">
        <v>0</v>
      </c>
      <c r="CN31" s="34" t="s">
        <v>81</v>
      </c>
      <c r="CO31" s="34" t="s">
        <v>81</v>
      </c>
      <c r="CP31" s="34" t="s">
        <v>81</v>
      </c>
      <c r="CQ31" s="34" t="s">
        <v>81</v>
      </c>
      <c r="CR31" s="34" t="s">
        <v>81</v>
      </c>
      <c r="CS31" s="34">
        <v>12</v>
      </c>
      <c r="CT31" s="35">
        <v>40905</v>
      </c>
      <c r="CU31" s="34">
        <v>0.35</v>
      </c>
      <c r="CV31" s="34">
        <v>103</v>
      </c>
      <c r="CW31" s="34">
        <v>0.61</v>
      </c>
      <c r="CX31" s="34">
        <v>251</v>
      </c>
      <c r="CY31" s="34">
        <v>229</v>
      </c>
      <c r="CZ31" s="34">
        <v>325</v>
      </c>
      <c r="DA31" s="34">
        <v>59</v>
      </c>
      <c r="DB31" s="34">
        <v>5095</v>
      </c>
      <c r="DC31" s="34">
        <v>4.4000000000000004</v>
      </c>
      <c r="DD31" s="34" t="s">
        <v>81</v>
      </c>
      <c r="DE31" s="34">
        <v>1</v>
      </c>
      <c r="DF31" s="34">
        <v>4.4000000000000004</v>
      </c>
      <c r="DG31" s="34">
        <v>2.57</v>
      </c>
      <c r="DH31" s="34">
        <v>569</v>
      </c>
      <c r="DI31" s="34" t="s">
        <v>81</v>
      </c>
      <c r="DJ31" s="34">
        <v>66</v>
      </c>
      <c r="DK31" s="34">
        <v>35</v>
      </c>
      <c r="DL31" s="34">
        <v>136</v>
      </c>
      <c r="DM31" s="34">
        <v>3.2</v>
      </c>
      <c r="DN31" s="34">
        <v>5200</v>
      </c>
      <c r="DO31" s="34">
        <v>72.900000000000006</v>
      </c>
      <c r="DP31" s="34" t="s">
        <v>81</v>
      </c>
      <c r="DQ31" s="34">
        <v>135</v>
      </c>
      <c r="DR31" s="34">
        <v>41</v>
      </c>
      <c r="DS31" s="34">
        <v>108</v>
      </c>
      <c r="DT31" s="34">
        <v>181</v>
      </c>
      <c r="DU31" s="34">
        <v>13.3</v>
      </c>
      <c r="DV31" s="34">
        <v>69.2</v>
      </c>
      <c r="DW31" s="34">
        <v>1.27</v>
      </c>
      <c r="DX31" s="34">
        <v>2.8</v>
      </c>
      <c r="DY31" s="34" t="s">
        <v>81</v>
      </c>
      <c r="DZ31" s="34" t="s">
        <v>81</v>
      </c>
      <c r="EA31" s="34">
        <v>0</v>
      </c>
      <c r="EB31" s="34">
        <v>65.58</v>
      </c>
      <c r="EC31" s="34">
        <v>2</v>
      </c>
      <c r="ED31" s="34">
        <v>0</v>
      </c>
      <c r="EE31" s="34">
        <v>1</v>
      </c>
      <c r="EF31" s="34">
        <v>0</v>
      </c>
      <c r="EG31" s="34">
        <v>3</v>
      </c>
      <c r="EH31" s="34">
        <v>2</v>
      </c>
      <c r="EI31" s="34">
        <v>0</v>
      </c>
      <c r="EJ31" s="34">
        <v>0</v>
      </c>
      <c r="EK31" s="34" t="s">
        <v>81</v>
      </c>
      <c r="EL31" s="34" t="s">
        <v>81</v>
      </c>
      <c r="EM31" s="34">
        <v>0.6</v>
      </c>
      <c r="EN31" s="34">
        <v>0.6</v>
      </c>
      <c r="EO31" s="34" t="s">
        <v>81</v>
      </c>
      <c r="EP31" s="34" t="s">
        <v>81</v>
      </c>
      <c r="EQ31" s="34" t="s">
        <v>81</v>
      </c>
      <c r="ER31" s="34">
        <v>0.4</v>
      </c>
      <c r="ES31" s="34" t="s">
        <v>81</v>
      </c>
      <c r="ET31" s="34" t="s">
        <v>81</v>
      </c>
      <c r="EU31" s="34" t="s">
        <v>81</v>
      </c>
      <c r="EV31" s="34" t="s">
        <v>81</v>
      </c>
      <c r="EW31" s="34" t="s">
        <v>81</v>
      </c>
      <c r="EX31" s="34" t="s">
        <v>81</v>
      </c>
      <c r="EY31" s="34" t="s">
        <v>81</v>
      </c>
      <c r="EZ31" s="34" t="s">
        <v>81</v>
      </c>
      <c r="FA31" s="34" t="s">
        <v>81</v>
      </c>
      <c r="FB31" s="34" t="s">
        <v>81</v>
      </c>
      <c r="FC31" s="34" t="s">
        <v>81</v>
      </c>
      <c r="FD31" s="34" t="s">
        <v>81</v>
      </c>
      <c r="FE31" s="34" t="s">
        <v>81</v>
      </c>
      <c r="FF31" s="34" t="s">
        <v>81</v>
      </c>
      <c r="FG31" s="34" t="s">
        <v>81</v>
      </c>
      <c r="FH31" s="34" t="s">
        <v>81</v>
      </c>
      <c r="FI31" s="34" t="s">
        <v>81</v>
      </c>
      <c r="FJ31" s="34" t="s">
        <v>81</v>
      </c>
      <c r="FK31" s="34" t="s">
        <v>81</v>
      </c>
      <c r="FL31" s="34" t="s">
        <v>81</v>
      </c>
      <c r="FM31" s="34" t="s">
        <v>81</v>
      </c>
      <c r="FN31" s="34" t="s">
        <v>81</v>
      </c>
      <c r="FO31" s="34" t="s">
        <v>81</v>
      </c>
      <c r="FP31" s="34" t="s">
        <v>81</v>
      </c>
      <c r="FQ31" s="34" t="s">
        <v>81</v>
      </c>
      <c r="FR31" s="34" t="s">
        <v>81</v>
      </c>
      <c r="FS31" s="34" t="s">
        <v>81</v>
      </c>
      <c r="FT31" s="34" t="s">
        <v>81</v>
      </c>
      <c r="FU31" s="34" t="s">
        <v>81</v>
      </c>
      <c r="FV31" s="34" t="s">
        <v>81</v>
      </c>
      <c r="FW31" s="34" t="s">
        <v>81</v>
      </c>
      <c r="FX31" s="34" t="s">
        <v>81</v>
      </c>
      <c r="FY31" s="34" t="s">
        <v>81</v>
      </c>
      <c r="FZ31" s="34">
        <v>90</v>
      </c>
      <c r="GA31" s="34">
        <v>51.58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D31"/>
  <sheetViews>
    <sheetView workbookViewId="0">
      <pane xSplit="19470"/>
      <selection activeCell="BJ3" sqref="BJ3:BJ13"/>
      <selection pane="topRight"/>
    </sheetView>
  </sheetViews>
  <sheetFormatPr defaultColWidth="7.375" defaultRowHeight="15.75" x14ac:dyDescent="0.25"/>
  <cols>
    <col min="2" max="2" width="7.625" bestFit="1" customWidth="1"/>
    <col min="3" max="3" width="13.5" customWidth="1"/>
    <col min="4" max="4" width="7.625" bestFit="1" customWidth="1"/>
    <col min="5" max="5" width="11.875" bestFit="1" customWidth="1"/>
    <col min="6" max="6" width="7.625" bestFit="1" customWidth="1"/>
    <col min="7" max="7" width="11.5" customWidth="1"/>
    <col min="8" max="8" width="12" customWidth="1"/>
    <col min="9" max="9" width="7.625" customWidth="1"/>
    <col min="10" max="14" width="7.625" bestFit="1" customWidth="1"/>
    <col min="15" max="15" width="8.875" bestFit="1" customWidth="1"/>
    <col min="16" max="16" width="16" customWidth="1"/>
    <col min="17" max="17" width="8.875" bestFit="1" customWidth="1"/>
    <col min="18" max="19" width="7.625" bestFit="1" customWidth="1"/>
    <col min="20" max="20" width="8.875" bestFit="1" customWidth="1"/>
    <col min="21" max="22" width="7.625" bestFit="1" customWidth="1"/>
    <col min="23" max="23" width="8.875" bestFit="1" customWidth="1"/>
    <col min="24" max="26" width="7.625" bestFit="1" customWidth="1"/>
    <col min="27" max="27" width="8.875" bestFit="1" customWidth="1"/>
    <col min="28" max="28" width="7.625" bestFit="1" customWidth="1"/>
    <col min="29" max="29" width="8.875" bestFit="1" customWidth="1"/>
    <col min="30" max="30" width="7.625" bestFit="1" customWidth="1"/>
    <col min="31" max="31" width="8.875" bestFit="1" customWidth="1"/>
    <col min="32" max="32" width="7.625" bestFit="1" customWidth="1"/>
    <col min="33" max="33" width="10" customWidth="1"/>
    <col min="34" max="34" width="7.625" bestFit="1" customWidth="1"/>
    <col min="35" max="35" width="8.875" bestFit="1" customWidth="1"/>
    <col min="36" max="46" width="7.625" bestFit="1" customWidth="1"/>
    <col min="47" max="47" width="8.875" bestFit="1" customWidth="1"/>
    <col min="48" max="48" width="7.875" bestFit="1" customWidth="1"/>
    <col min="49" max="51" width="7.625" bestFit="1" customWidth="1"/>
    <col min="52" max="52" width="22.125" customWidth="1"/>
    <col min="53" max="53" width="16.875" customWidth="1"/>
    <col min="54" max="66" width="7.625" bestFit="1" customWidth="1"/>
    <col min="67" max="67" width="8.875" bestFit="1" customWidth="1"/>
    <col min="68" max="68" width="8.625" bestFit="1" customWidth="1"/>
    <col min="69" max="71" width="7.625" bestFit="1" customWidth="1"/>
    <col min="72" max="72" width="19" customWidth="1"/>
    <col min="73" max="73" width="15.625" customWidth="1"/>
    <col min="74" max="74" width="10.5" customWidth="1"/>
    <col min="75" max="75" width="23.5" customWidth="1"/>
    <col min="76" max="79" width="7.625" bestFit="1" customWidth="1"/>
    <col min="80" max="80" width="8.625" bestFit="1" customWidth="1"/>
    <col min="81" max="81" width="7.125" customWidth="1"/>
    <col min="82" max="84" width="7.625" bestFit="1" customWidth="1"/>
    <col min="85" max="85" width="8.875" bestFit="1" customWidth="1"/>
    <col min="86" max="86" width="8.625" bestFit="1" customWidth="1"/>
    <col min="87" max="96" width="7.625" bestFit="1" customWidth="1"/>
    <col min="97" max="97" width="8.875" bestFit="1" customWidth="1"/>
    <col min="98" max="98" width="8.625" bestFit="1" customWidth="1"/>
    <col min="99" max="113" width="7.625" bestFit="1" customWidth="1"/>
    <col min="114" max="115" width="8.875" bestFit="1" customWidth="1"/>
    <col min="116" max="124" width="7.625" bestFit="1" customWidth="1"/>
    <col min="125" max="125" width="8.625" bestFit="1" customWidth="1"/>
    <col min="126" max="126" width="7.875" bestFit="1" customWidth="1"/>
    <col min="127" max="135" width="7.625" bestFit="1" customWidth="1"/>
    <col min="136" max="136" width="8.625" bestFit="1" customWidth="1"/>
    <col min="137" max="137" width="8.875" bestFit="1" customWidth="1"/>
    <col min="138" max="147" width="7.625" bestFit="1" customWidth="1"/>
  </cols>
  <sheetData>
    <row r="1" spans="1:160" s="3" customFormat="1" x14ac:dyDescent="0.25">
      <c r="A1" s="3" t="s">
        <v>690</v>
      </c>
      <c r="BJ1" s="3" t="s">
        <v>722</v>
      </c>
      <c r="BK1" s="3" t="s">
        <v>722</v>
      </c>
      <c r="BO1" s="3" t="s">
        <v>723</v>
      </c>
    </row>
    <row r="2" spans="1:160" s="55" customFormat="1" x14ac:dyDescent="0.25">
      <c r="A2" s="60" t="s">
        <v>0</v>
      </c>
      <c r="B2" s="61" t="s">
        <v>711</v>
      </c>
      <c r="C2" s="55" t="s">
        <v>686</v>
      </c>
      <c r="D2" s="55" t="s">
        <v>689</v>
      </c>
      <c r="E2" s="55" t="s">
        <v>3</v>
      </c>
      <c r="F2" s="55" t="s">
        <v>4</v>
      </c>
      <c r="G2" s="55" t="s">
        <v>688</v>
      </c>
      <c r="H2" s="55" t="s">
        <v>687</v>
      </c>
      <c r="I2" s="55" t="s">
        <v>686</v>
      </c>
      <c r="J2" s="55" t="s">
        <v>685</v>
      </c>
      <c r="K2" s="55" t="s">
        <v>27</v>
      </c>
      <c r="L2" s="55" t="s">
        <v>684</v>
      </c>
      <c r="M2" s="55" t="s">
        <v>683</v>
      </c>
      <c r="N2" s="55" t="s">
        <v>682</v>
      </c>
      <c r="O2" s="55" t="s">
        <v>681</v>
      </c>
      <c r="P2" s="55" t="s">
        <v>680</v>
      </c>
      <c r="Q2" s="55" t="s">
        <v>679</v>
      </c>
      <c r="R2" s="55" t="s">
        <v>678</v>
      </c>
      <c r="S2" s="55" t="s">
        <v>677</v>
      </c>
      <c r="T2" s="55" t="s">
        <v>676</v>
      </c>
      <c r="U2" s="55" t="s">
        <v>675</v>
      </c>
      <c r="V2" s="55" t="s">
        <v>674</v>
      </c>
      <c r="W2" s="55" t="s">
        <v>673</v>
      </c>
      <c r="X2" s="55" t="s">
        <v>672</v>
      </c>
      <c r="Y2" s="55" t="s">
        <v>671</v>
      </c>
      <c r="Z2" s="55" t="s">
        <v>670</v>
      </c>
      <c r="AA2" s="55" t="s">
        <v>666</v>
      </c>
      <c r="AB2" s="55" t="s">
        <v>669</v>
      </c>
      <c r="AC2" s="55" t="s">
        <v>666</v>
      </c>
      <c r="AD2" s="55" t="s">
        <v>668</v>
      </c>
      <c r="AE2" s="55" t="s">
        <v>666</v>
      </c>
      <c r="AF2" s="55" t="s">
        <v>667</v>
      </c>
      <c r="AG2" s="55" t="s">
        <v>666</v>
      </c>
      <c r="AH2" s="55" t="s">
        <v>665</v>
      </c>
      <c r="AI2" s="55" t="s">
        <v>664</v>
      </c>
      <c r="AJ2" s="55" t="s">
        <v>516</v>
      </c>
      <c r="AK2" s="55" t="s">
        <v>663</v>
      </c>
      <c r="AL2" s="55" t="s">
        <v>662</v>
      </c>
      <c r="AM2" s="55" t="s">
        <v>661</v>
      </c>
      <c r="AN2" s="55" t="s">
        <v>660</v>
      </c>
      <c r="AO2" s="55" t="s">
        <v>659</v>
      </c>
      <c r="AP2" s="55" t="s">
        <v>658</v>
      </c>
      <c r="AQ2" s="55" t="s">
        <v>184</v>
      </c>
      <c r="AR2" s="55" t="s">
        <v>657</v>
      </c>
      <c r="AS2" s="55" t="s">
        <v>514</v>
      </c>
      <c r="AT2" s="55" t="s">
        <v>656</v>
      </c>
      <c r="AU2" s="55" t="s">
        <v>655</v>
      </c>
      <c r="AV2" s="55" t="s">
        <v>654</v>
      </c>
      <c r="AW2" s="55" t="s">
        <v>622</v>
      </c>
      <c r="AX2" s="55" t="s">
        <v>653</v>
      </c>
      <c r="AY2" s="55" t="s">
        <v>652</v>
      </c>
      <c r="AZ2" s="55" t="s">
        <v>651</v>
      </c>
      <c r="BA2" s="55" t="s">
        <v>650</v>
      </c>
      <c r="BB2" s="55" t="s">
        <v>649</v>
      </c>
      <c r="BC2" s="55" t="s">
        <v>648</v>
      </c>
      <c r="BD2" s="55" t="s">
        <v>647</v>
      </c>
      <c r="BE2" s="55" t="s">
        <v>646</v>
      </c>
      <c r="BF2" s="55" t="s">
        <v>645</v>
      </c>
      <c r="BG2" s="55" t="s">
        <v>713</v>
      </c>
      <c r="BH2" s="58" t="s">
        <v>47</v>
      </c>
      <c r="BI2" s="55" t="s">
        <v>47</v>
      </c>
      <c r="BJ2" s="55" t="s">
        <v>720</v>
      </c>
      <c r="BK2" s="55" t="s">
        <v>644</v>
      </c>
      <c r="BL2" s="55" t="s">
        <v>643</v>
      </c>
      <c r="BM2" s="55" t="s">
        <v>642</v>
      </c>
      <c r="BN2" s="55" t="s">
        <v>641</v>
      </c>
      <c r="BO2" s="55" t="s">
        <v>640</v>
      </c>
      <c r="BP2" s="55" t="s">
        <v>639</v>
      </c>
      <c r="BQ2" s="55" t="s">
        <v>638</v>
      </c>
      <c r="BR2" s="55" t="s">
        <v>637</v>
      </c>
      <c r="BS2" s="55" t="s">
        <v>636</v>
      </c>
      <c r="BT2" s="55" t="s">
        <v>635</v>
      </c>
      <c r="BU2" s="55" t="s">
        <v>633</v>
      </c>
      <c r="BV2" s="55" t="s">
        <v>632</v>
      </c>
      <c r="BW2" s="55" t="s">
        <v>634</v>
      </c>
      <c r="BX2" s="55" t="s">
        <v>631</v>
      </c>
      <c r="BY2" s="55" t="s">
        <v>630</v>
      </c>
      <c r="BZ2" s="55" t="s">
        <v>629</v>
      </c>
      <c r="CA2" s="58" t="s">
        <v>739</v>
      </c>
      <c r="CB2" s="55" t="s">
        <v>740</v>
      </c>
      <c r="CC2" s="55" t="s">
        <v>628</v>
      </c>
      <c r="CD2" s="55" t="s">
        <v>627</v>
      </c>
      <c r="CE2" s="55" t="s">
        <v>626</v>
      </c>
      <c r="CF2" s="55" t="s">
        <v>625</v>
      </c>
      <c r="CG2" s="55" t="s">
        <v>624</v>
      </c>
      <c r="CH2" s="55" t="s">
        <v>623</v>
      </c>
      <c r="CI2" s="55" t="s">
        <v>622</v>
      </c>
      <c r="CJ2" s="55" t="s">
        <v>611</v>
      </c>
      <c r="CK2" s="55" t="s">
        <v>621</v>
      </c>
      <c r="CL2" s="55" t="s">
        <v>620</v>
      </c>
      <c r="CM2" s="55" t="s">
        <v>619</v>
      </c>
      <c r="CN2" s="55" t="s">
        <v>618</v>
      </c>
      <c r="CO2" s="55" t="s">
        <v>617</v>
      </c>
      <c r="CP2" s="55" t="s">
        <v>616</v>
      </c>
      <c r="CQ2" s="55" t="s">
        <v>615</v>
      </c>
      <c r="CR2" s="55" t="s">
        <v>614</v>
      </c>
      <c r="CS2" s="55" t="s">
        <v>613</v>
      </c>
      <c r="CT2" s="55" t="s">
        <v>612</v>
      </c>
      <c r="CU2" s="55" t="s">
        <v>564</v>
      </c>
      <c r="CV2" s="55" t="s">
        <v>611</v>
      </c>
      <c r="CW2" s="55" t="s">
        <v>610</v>
      </c>
      <c r="CX2" s="55" t="s">
        <v>609</v>
      </c>
      <c r="CY2" s="55" t="s">
        <v>608</v>
      </c>
      <c r="CZ2" s="55" t="s">
        <v>607</v>
      </c>
      <c r="DA2" s="55" t="s">
        <v>606</v>
      </c>
      <c r="DB2" s="55" t="s">
        <v>605</v>
      </c>
      <c r="DC2" s="55" t="s">
        <v>604</v>
      </c>
      <c r="DD2" s="55" t="s">
        <v>603</v>
      </c>
      <c r="DE2" s="55" t="s">
        <v>602</v>
      </c>
      <c r="DF2" s="55" t="s">
        <v>601</v>
      </c>
      <c r="DG2" s="55" t="s">
        <v>600</v>
      </c>
      <c r="DH2" s="55" t="s">
        <v>599</v>
      </c>
      <c r="DI2" s="55" t="s">
        <v>598</v>
      </c>
      <c r="DJ2" s="55" t="s">
        <v>597</v>
      </c>
      <c r="DK2" s="55" t="s">
        <v>596</v>
      </c>
      <c r="DL2" s="55" t="s">
        <v>586</v>
      </c>
      <c r="DM2" s="55" t="s">
        <v>564</v>
      </c>
      <c r="DN2" s="55" t="s">
        <v>595</v>
      </c>
      <c r="DO2" s="55" t="s">
        <v>594</v>
      </c>
      <c r="DP2" s="55" t="s">
        <v>593</v>
      </c>
      <c r="DQ2" s="55" t="s">
        <v>592</v>
      </c>
      <c r="DR2" s="55" t="s">
        <v>591</v>
      </c>
      <c r="DS2" s="55" t="s">
        <v>590</v>
      </c>
      <c r="DT2" s="55" t="s">
        <v>589</v>
      </c>
      <c r="DU2" s="55" t="s">
        <v>588</v>
      </c>
      <c r="DV2" s="55" t="s">
        <v>587</v>
      </c>
      <c r="DW2" s="55" t="s">
        <v>586</v>
      </c>
      <c r="DX2" s="55" t="s">
        <v>564</v>
      </c>
      <c r="DY2" s="55" t="s">
        <v>585</v>
      </c>
      <c r="DZ2" s="55" t="s">
        <v>584</v>
      </c>
      <c r="EA2" s="55" t="s">
        <v>583</v>
      </c>
      <c r="EB2" s="55" t="s">
        <v>582</v>
      </c>
      <c r="EC2" s="55" t="s">
        <v>581</v>
      </c>
      <c r="ED2" s="55" t="s">
        <v>580</v>
      </c>
      <c r="EE2" s="55" t="s">
        <v>579</v>
      </c>
      <c r="EF2" s="55" t="s">
        <v>578</v>
      </c>
      <c r="EG2" s="55" t="s">
        <v>577</v>
      </c>
      <c r="EH2" s="55" t="s">
        <v>564</v>
      </c>
      <c r="EI2" s="55" t="s">
        <v>563</v>
      </c>
      <c r="EJ2" s="55" t="s">
        <v>576</v>
      </c>
      <c r="EK2" s="55" t="s">
        <v>575</v>
      </c>
      <c r="EL2" s="55" t="s">
        <v>574</v>
      </c>
      <c r="EM2" s="55" t="s">
        <v>573</v>
      </c>
      <c r="EN2" s="55" t="s">
        <v>572</v>
      </c>
      <c r="EO2" s="55" t="s">
        <v>571</v>
      </c>
      <c r="EP2" s="55" t="s">
        <v>570</v>
      </c>
      <c r="EQ2" s="55" t="s">
        <v>569</v>
      </c>
      <c r="ER2" s="55" t="s">
        <v>568</v>
      </c>
      <c r="ES2" s="55" t="s">
        <v>567</v>
      </c>
      <c r="ET2" s="55" t="s">
        <v>566</v>
      </c>
      <c r="EU2" s="55" t="s">
        <v>565</v>
      </c>
      <c r="EV2" s="55" t="s">
        <v>564</v>
      </c>
      <c r="EW2" s="55" t="s">
        <v>563</v>
      </c>
      <c r="EX2" s="55" t="s">
        <v>562</v>
      </c>
      <c r="EY2" s="55" t="s">
        <v>561</v>
      </c>
      <c r="EZ2" s="55" t="s">
        <v>560</v>
      </c>
      <c r="FA2" s="55" t="s">
        <v>559</v>
      </c>
      <c r="FB2" s="55" t="s">
        <v>558</v>
      </c>
      <c r="FC2" s="55" t="s">
        <v>557</v>
      </c>
      <c r="FD2" s="55" t="s">
        <v>556</v>
      </c>
    </row>
    <row r="3" spans="1:160" s="50" customFormat="1" x14ac:dyDescent="0.25">
      <c r="A3" s="15">
        <v>1</v>
      </c>
      <c r="B3" s="34" t="s">
        <v>140</v>
      </c>
      <c r="C3" s="48" t="s">
        <v>717</v>
      </c>
      <c r="D3" s="44">
        <v>23608</v>
      </c>
      <c r="E3" s="45">
        <v>43.888888888888886</v>
      </c>
      <c r="F3" s="43" t="s">
        <v>80</v>
      </c>
      <c r="G3" s="46">
        <v>39638</v>
      </c>
      <c r="H3" s="47">
        <v>1</v>
      </c>
      <c r="I3" s="48" t="s">
        <v>555</v>
      </c>
      <c r="J3" s="47">
        <v>1</v>
      </c>
      <c r="K3" s="47"/>
      <c r="L3" s="47">
        <v>100</v>
      </c>
      <c r="M3" s="47">
        <v>40</v>
      </c>
      <c r="N3" s="46">
        <v>39647</v>
      </c>
      <c r="O3" s="49">
        <v>29</v>
      </c>
      <c r="P3" s="46">
        <v>39677</v>
      </c>
      <c r="Q3" s="49">
        <v>0</v>
      </c>
      <c r="R3" s="47">
        <v>0</v>
      </c>
      <c r="S3" s="47"/>
      <c r="T3" s="47"/>
      <c r="U3" s="47">
        <v>0</v>
      </c>
      <c r="V3" s="47"/>
      <c r="W3" s="47"/>
      <c r="X3" s="47"/>
      <c r="Y3" s="47"/>
      <c r="Z3" s="47"/>
      <c r="AA3" s="47"/>
      <c r="AB3" s="47"/>
      <c r="AC3" s="47"/>
      <c r="AD3" s="46">
        <v>39657</v>
      </c>
      <c r="AE3" s="47">
        <v>0</v>
      </c>
      <c r="AF3" s="46">
        <v>39665</v>
      </c>
      <c r="AG3" s="47" t="s">
        <v>523</v>
      </c>
      <c r="AH3" s="47"/>
      <c r="AI3" s="47"/>
      <c r="AJ3" s="47">
        <v>2</v>
      </c>
      <c r="AK3" s="47">
        <v>15</v>
      </c>
      <c r="AL3" s="47">
        <v>1</v>
      </c>
      <c r="AM3" s="47">
        <v>1</v>
      </c>
      <c r="AN3" s="47">
        <v>0</v>
      </c>
      <c r="AO3" s="47">
        <v>0</v>
      </c>
      <c r="AP3" s="47">
        <v>0</v>
      </c>
      <c r="AQ3" s="47">
        <v>0</v>
      </c>
      <c r="AR3" s="47">
        <v>1</v>
      </c>
      <c r="AS3" s="47">
        <v>1</v>
      </c>
      <c r="AT3" s="47">
        <v>7600</v>
      </c>
      <c r="AU3" s="47">
        <v>3116</v>
      </c>
      <c r="AV3" s="47">
        <v>47</v>
      </c>
      <c r="AW3" s="47">
        <v>7.6</v>
      </c>
      <c r="AX3" s="47">
        <v>12.6</v>
      </c>
      <c r="AY3" s="47">
        <v>1.9</v>
      </c>
      <c r="AZ3" s="47">
        <v>143</v>
      </c>
      <c r="BA3" s="47">
        <v>121</v>
      </c>
      <c r="BB3" s="47">
        <v>91</v>
      </c>
      <c r="BC3" s="47">
        <v>23</v>
      </c>
      <c r="BD3" s="47" t="s">
        <v>144</v>
      </c>
      <c r="BE3" s="47">
        <v>6.7</v>
      </c>
      <c r="BF3" s="47">
        <v>47.059999999999995</v>
      </c>
      <c r="BG3" s="56">
        <v>10</v>
      </c>
      <c r="BH3" s="59">
        <f>3.78*LN(BA3/10)+11.2*LN(AY3)+9.57*LN(BE3/10)+6.43</f>
        <v>19.210509823634517</v>
      </c>
      <c r="BI3" s="57">
        <v>19.210509823634499</v>
      </c>
      <c r="BJ3" s="47">
        <v>7.0890000000000004</v>
      </c>
      <c r="BK3" s="47"/>
      <c r="BL3" s="47"/>
      <c r="BM3" s="47"/>
      <c r="BN3" s="47">
        <v>10200</v>
      </c>
      <c r="BO3" s="47" t="s">
        <v>142</v>
      </c>
      <c r="BP3" s="47">
        <v>49</v>
      </c>
      <c r="BQ3" s="47">
        <v>5.6</v>
      </c>
      <c r="BR3" s="47">
        <v>12.6</v>
      </c>
      <c r="BS3" s="47" t="s">
        <v>142</v>
      </c>
      <c r="BT3" s="47">
        <v>132</v>
      </c>
      <c r="BU3" s="47">
        <v>139</v>
      </c>
      <c r="BV3" s="47">
        <v>108</v>
      </c>
      <c r="BW3" s="47">
        <v>23</v>
      </c>
      <c r="BX3" s="47" t="s">
        <v>144</v>
      </c>
      <c r="BY3" s="47">
        <v>6</v>
      </c>
      <c r="BZ3" s="56">
        <v>39.659999999999997</v>
      </c>
      <c r="CA3" s="59"/>
      <c r="CB3" s="57"/>
      <c r="CC3" s="47"/>
      <c r="CD3" s="47"/>
      <c r="CE3" s="47"/>
      <c r="CF3" s="47">
        <v>13600</v>
      </c>
      <c r="CG3" s="47">
        <v>9370</v>
      </c>
      <c r="CH3" s="47">
        <v>47</v>
      </c>
      <c r="CI3" s="47">
        <v>7.6</v>
      </c>
      <c r="CJ3" s="47">
        <v>12.6</v>
      </c>
      <c r="CK3" s="47" t="s">
        <v>144</v>
      </c>
      <c r="CL3" s="47">
        <v>128</v>
      </c>
      <c r="CM3" s="47">
        <v>23</v>
      </c>
      <c r="CN3" s="47">
        <v>173</v>
      </c>
      <c r="CO3" s="47" t="s">
        <v>144</v>
      </c>
      <c r="CP3" s="47">
        <v>6</v>
      </c>
      <c r="CQ3" s="47">
        <v>52.259999999999991</v>
      </c>
      <c r="CR3" s="47">
        <v>12400</v>
      </c>
      <c r="CS3" s="47">
        <v>8035</v>
      </c>
      <c r="CT3" s="47">
        <v>50</v>
      </c>
      <c r="CU3" s="47">
        <v>55</v>
      </c>
      <c r="CV3" s="47">
        <v>12.6</v>
      </c>
      <c r="CW3" s="47" t="s">
        <v>144</v>
      </c>
      <c r="CX3" s="47">
        <v>121</v>
      </c>
      <c r="CY3" s="47">
        <v>20</v>
      </c>
      <c r="CZ3" s="47">
        <v>205</v>
      </c>
      <c r="DA3" s="47">
        <v>-66</v>
      </c>
      <c r="DB3" s="47">
        <v>0</v>
      </c>
      <c r="DC3" s="47">
        <v>21</v>
      </c>
      <c r="DD3" s="47">
        <v>7</v>
      </c>
      <c r="DE3" s="47"/>
      <c r="DF3" s="47">
        <v>7.81</v>
      </c>
      <c r="DG3" s="47">
        <v>377</v>
      </c>
      <c r="DH3" s="47">
        <v>0.80592527747126663</v>
      </c>
      <c r="DI3" s="47">
        <v>15400</v>
      </c>
      <c r="DJ3" s="47">
        <v>13900</v>
      </c>
      <c r="DK3" s="47">
        <v>40</v>
      </c>
      <c r="DL3" s="47">
        <v>10.5</v>
      </c>
      <c r="DM3" s="47">
        <v>6.7</v>
      </c>
      <c r="DN3" s="47">
        <v>1.6</v>
      </c>
      <c r="DO3" s="47">
        <v>114</v>
      </c>
      <c r="DP3" s="47" t="s">
        <v>144</v>
      </c>
      <c r="DQ3" s="47">
        <v>321</v>
      </c>
      <c r="DR3" s="47">
        <v>22</v>
      </c>
      <c r="DS3" s="47">
        <v>10</v>
      </c>
      <c r="DT3" s="47">
        <v>5970</v>
      </c>
      <c r="DU3" s="47" t="s">
        <v>142</v>
      </c>
      <c r="DV3" s="47">
        <v>31</v>
      </c>
      <c r="DW3" s="47" t="s">
        <v>142</v>
      </c>
      <c r="DX3" s="47" t="s">
        <v>142</v>
      </c>
      <c r="DY3" s="47">
        <v>2.1</v>
      </c>
      <c r="DZ3" s="47">
        <v>67</v>
      </c>
      <c r="EA3" s="47" t="s">
        <v>142</v>
      </c>
      <c r="EB3" s="47">
        <v>434</v>
      </c>
      <c r="EC3" s="47">
        <v>21</v>
      </c>
      <c r="ED3" s="47">
        <v>14.6</v>
      </c>
      <c r="EE3" s="47">
        <v>7250</v>
      </c>
      <c r="EF3" s="47" t="s">
        <v>142</v>
      </c>
      <c r="EG3" s="47">
        <v>33</v>
      </c>
      <c r="EH3" s="47" t="s">
        <v>142</v>
      </c>
      <c r="EI3" s="47" t="s">
        <v>142</v>
      </c>
      <c r="EJ3" s="47">
        <v>2</v>
      </c>
      <c r="EK3" s="47">
        <v>108</v>
      </c>
      <c r="EL3" s="47" t="s">
        <v>142</v>
      </c>
      <c r="EM3" s="47">
        <v>318</v>
      </c>
      <c r="EN3" s="47">
        <v>234</v>
      </c>
      <c r="EO3" s="47">
        <v>22</v>
      </c>
      <c r="EP3" s="47">
        <v>13</v>
      </c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</row>
    <row r="4" spans="1:160" s="50" customFormat="1" x14ac:dyDescent="0.25">
      <c r="A4" s="15">
        <v>2</v>
      </c>
      <c r="B4" s="34" t="s">
        <v>145</v>
      </c>
      <c r="C4" s="48" t="s">
        <v>554</v>
      </c>
      <c r="D4" s="44">
        <v>20550</v>
      </c>
      <c r="E4" s="45">
        <v>52.297222222222224</v>
      </c>
      <c r="F4" s="43" t="s">
        <v>80</v>
      </c>
      <c r="G4" s="46">
        <v>39651</v>
      </c>
      <c r="H4" s="47">
        <v>1</v>
      </c>
      <c r="I4" s="48" t="s">
        <v>553</v>
      </c>
      <c r="J4" s="47">
        <v>1</v>
      </c>
      <c r="K4" s="47" t="s">
        <v>142</v>
      </c>
      <c r="L4" s="47">
        <v>90</v>
      </c>
      <c r="M4" s="47">
        <v>40</v>
      </c>
      <c r="N4" s="46">
        <v>39658</v>
      </c>
      <c r="O4" s="49">
        <v>29</v>
      </c>
      <c r="P4" s="46">
        <v>39688</v>
      </c>
      <c r="Q4" s="49">
        <v>0</v>
      </c>
      <c r="R4" s="47">
        <v>1</v>
      </c>
      <c r="S4" s="46">
        <v>39679</v>
      </c>
      <c r="T4" s="47" t="s">
        <v>552</v>
      </c>
      <c r="U4" s="47">
        <v>1</v>
      </c>
      <c r="V4" s="46">
        <v>39684</v>
      </c>
      <c r="W4" s="47" t="s">
        <v>146</v>
      </c>
      <c r="X4" s="47" t="s">
        <v>551</v>
      </c>
      <c r="Y4" s="47" t="s">
        <v>550</v>
      </c>
      <c r="Z4" s="46">
        <v>39651</v>
      </c>
      <c r="AA4" s="47">
        <v>0</v>
      </c>
      <c r="AB4" s="47">
        <v>0</v>
      </c>
      <c r="AC4" s="47"/>
      <c r="AD4" s="46">
        <v>39651</v>
      </c>
      <c r="AE4" s="47">
        <v>0</v>
      </c>
      <c r="AF4" s="46">
        <v>39651</v>
      </c>
      <c r="AG4" s="47">
        <v>0</v>
      </c>
      <c r="AH4" s="46">
        <v>40381</v>
      </c>
      <c r="AI4" s="47" t="s">
        <v>520</v>
      </c>
      <c r="AJ4" s="47">
        <v>2</v>
      </c>
      <c r="AK4" s="47">
        <v>17</v>
      </c>
      <c r="AL4" s="47">
        <v>3</v>
      </c>
      <c r="AM4" s="47">
        <v>1</v>
      </c>
      <c r="AN4" s="47">
        <v>0</v>
      </c>
      <c r="AO4" s="47">
        <v>0</v>
      </c>
      <c r="AP4" s="47">
        <v>0</v>
      </c>
      <c r="AQ4" s="47">
        <v>0</v>
      </c>
      <c r="AR4" s="47">
        <v>3</v>
      </c>
      <c r="AS4" s="47">
        <v>1</v>
      </c>
      <c r="AT4" s="47">
        <v>13040</v>
      </c>
      <c r="AU4" s="47">
        <v>10732</v>
      </c>
      <c r="AV4" s="47">
        <v>42</v>
      </c>
      <c r="AW4" s="47">
        <v>7.3</v>
      </c>
      <c r="AX4" s="47">
        <v>10.5</v>
      </c>
      <c r="AY4" s="47">
        <v>1.7</v>
      </c>
      <c r="AZ4" s="47">
        <v>378</v>
      </c>
      <c r="BA4" s="47">
        <v>264</v>
      </c>
      <c r="BB4" s="47">
        <v>190</v>
      </c>
      <c r="BC4" s="47">
        <v>22.5</v>
      </c>
      <c r="BD4" s="47">
        <v>55.5</v>
      </c>
      <c r="BE4" s="47">
        <v>5</v>
      </c>
      <c r="BF4" s="47">
        <v>59.980000000000004</v>
      </c>
      <c r="BG4" s="56">
        <v>12</v>
      </c>
      <c r="BH4" s="59">
        <f t="shared" ref="BH4:BH12" si="0">3.78*LN(BA4/10)+11.2*LN(AY4)+9.57*LN(BE4/10)+6.43</f>
        <v>18.112933852313212</v>
      </c>
      <c r="BI4" s="57">
        <v>18.112933852313212</v>
      </c>
      <c r="BJ4" s="47">
        <v>8.822000000000001</v>
      </c>
      <c r="BK4" s="47"/>
      <c r="BL4" s="47"/>
      <c r="BM4" s="47"/>
      <c r="BN4" s="47">
        <v>13210</v>
      </c>
      <c r="BO4" s="47">
        <v>9022</v>
      </c>
      <c r="BP4" s="47">
        <v>34</v>
      </c>
      <c r="BQ4" s="47">
        <v>10.7</v>
      </c>
      <c r="BR4" s="47">
        <v>10.5</v>
      </c>
      <c r="BS4" s="47">
        <v>2</v>
      </c>
      <c r="BT4" s="47">
        <v>135</v>
      </c>
      <c r="BU4" s="47">
        <v>306</v>
      </c>
      <c r="BV4" s="47">
        <v>258</v>
      </c>
      <c r="BW4" s="47">
        <v>22.5</v>
      </c>
      <c r="BX4" s="47">
        <v>49.4</v>
      </c>
      <c r="BY4" s="47">
        <v>9</v>
      </c>
      <c r="BZ4" s="56">
        <v>79.819999999999993</v>
      </c>
      <c r="CA4" s="59">
        <f>3.78*LN(BU4/10)+11.2*LN(BS4)+9.57*LN(BY4/10)+6.43</f>
        <v>26.116328321288492</v>
      </c>
      <c r="CB4" s="57">
        <f>(E4*0.1)+BU4*0.008+BS4*0.8+BY4*0.03</f>
        <v>9.5477222222222213</v>
      </c>
      <c r="CC4" s="47"/>
      <c r="CD4" s="47"/>
      <c r="CE4" s="47"/>
      <c r="CF4" s="47" t="s">
        <v>142</v>
      </c>
      <c r="CG4" s="47" t="s">
        <v>142</v>
      </c>
      <c r="CH4" s="47" t="s">
        <v>142</v>
      </c>
      <c r="CI4" s="47" t="s">
        <v>142</v>
      </c>
      <c r="CJ4" s="47" t="s">
        <v>142</v>
      </c>
      <c r="CK4" s="47" t="s">
        <v>142</v>
      </c>
      <c r="CL4" s="47" t="s">
        <v>142</v>
      </c>
      <c r="CM4" s="47" t="s">
        <v>142</v>
      </c>
      <c r="CN4" s="47" t="s">
        <v>142</v>
      </c>
      <c r="CO4" s="47" t="s">
        <v>142</v>
      </c>
      <c r="CP4" s="47" t="s">
        <v>142</v>
      </c>
      <c r="CQ4" s="47" t="s">
        <v>142</v>
      </c>
      <c r="CR4" s="47">
        <v>32410</v>
      </c>
      <c r="CS4" s="47" t="s">
        <v>142</v>
      </c>
      <c r="CT4" s="47">
        <v>39</v>
      </c>
      <c r="CU4" s="47">
        <v>7.9</v>
      </c>
      <c r="CV4" s="47">
        <v>10.5</v>
      </c>
      <c r="CW4" s="47">
        <v>2.2999999999999998</v>
      </c>
      <c r="CX4" s="47">
        <v>150</v>
      </c>
      <c r="CY4" s="47">
        <v>19.899999999999999</v>
      </c>
      <c r="CZ4" s="47">
        <v>274</v>
      </c>
      <c r="DA4" s="47">
        <v>32</v>
      </c>
      <c r="DB4" s="47">
        <v>0</v>
      </c>
      <c r="DC4" s="47" t="s">
        <v>142</v>
      </c>
      <c r="DD4" s="47">
        <v>5</v>
      </c>
      <c r="DE4" s="47" t="s">
        <v>142</v>
      </c>
      <c r="DF4" s="47" t="s">
        <v>142</v>
      </c>
      <c r="DG4" s="47" t="s">
        <v>142</v>
      </c>
      <c r="DH4" s="47">
        <v>0.81332162905826422</v>
      </c>
      <c r="DI4" s="47">
        <v>29500</v>
      </c>
      <c r="DJ4" s="47" t="s">
        <v>142</v>
      </c>
      <c r="DK4" s="47">
        <v>40</v>
      </c>
      <c r="DL4" s="47">
        <v>10.5</v>
      </c>
      <c r="DM4" s="47">
        <v>6.7</v>
      </c>
      <c r="DN4" s="47">
        <v>1.6</v>
      </c>
      <c r="DO4" s="47">
        <v>217</v>
      </c>
      <c r="DP4" s="47">
        <v>29.2</v>
      </c>
      <c r="DQ4" s="47">
        <v>382.1</v>
      </c>
      <c r="DR4" s="47" t="s">
        <v>142</v>
      </c>
      <c r="DS4" s="47">
        <v>7.9</v>
      </c>
      <c r="DT4" s="47">
        <v>17790</v>
      </c>
      <c r="DU4" s="47" t="s">
        <v>142</v>
      </c>
      <c r="DV4" s="47">
        <v>41</v>
      </c>
      <c r="DW4" s="47">
        <v>10.5</v>
      </c>
      <c r="DX4" s="47">
        <v>6.5</v>
      </c>
      <c r="DY4" s="47">
        <v>1.6</v>
      </c>
      <c r="DZ4" s="47">
        <v>74</v>
      </c>
      <c r="EA4" s="47">
        <v>28</v>
      </c>
      <c r="EB4" s="47">
        <v>378.7</v>
      </c>
      <c r="EC4" s="47">
        <v>47</v>
      </c>
      <c r="ED4" s="47">
        <v>9.8000000000000007</v>
      </c>
      <c r="EE4" s="47">
        <v>20290</v>
      </c>
      <c r="EF4" s="47" t="s">
        <v>142</v>
      </c>
      <c r="EG4" s="47">
        <v>41</v>
      </c>
      <c r="EH4" s="47">
        <v>6.4</v>
      </c>
      <c r="EI4" s="47">
        <v>10.5</v>
      </c>
      <c r="EJ4" s="47">
        <v>1.6</v>
      </c>
      <c r="EK4" s="47">
        <v>59</v>
      </c>
      <c r="EL4" s="47" t="s">
        <v>142</v>
      </c>
      <c r="EM4" s="47">
        <v>363</v>
      </c>
      <c r="EN4" s="47">
        <v>226.9</v>
      </c>
      <c r="EO4" s="47">
        <v>51</v>
      </c>
      <c r="EP4" s="47">
        <v>10</v>
      </c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</row>
    <row r="5" spans="1:160" s="50" customFormat="1" x14ac:dyDescent="0.25">
      <c r="A5" s="15">
        <v>3</v>
      </c>
      <c r="B5" s="34" t="s">
        <v>148</v>
      </c>
      <c r="C5" s="48" t="s">
        <v>549</v>
      </c>
      <c r="D5" s="44">
        <v>24640</v>
      </c>
      <c r="E5" s="45">
        <v>41.85</v>
      </c>
      <c r="F5" s="43" t="s">
        <v>80</v>
      </c>
      <c r="G5" s="46">
        <v>39926</v>
      </c>
      <c r="H5" s="47">
        <v>1</v>
      </c>
      <c r="I5" s="48" t="s">
        <v>548</v>
      </c>
      <c r="J5" s="47">
        <v>0</v>
      </c>
      <c r="K5" s="47"/>
      <c r="L5" s="47">
        <v>100</v>
      </c>
      <c r="M5" s="47">
        <v>40</v>
      </c>
      <c r="N5" s="46">
        <v>39934</v>
      </c>
      <c r="O5" s="49">
        <v>38</v>
      </c>
      <c r="P5" s="46">
        <v>39973</v>
      </c>
      <c r="Q5" s="49">
        <v>0</v>
      </c>
      <c r="R5" s="47">
        <v>1</v>
      </c>
      <c r="S5" s="46">
        <v>39937</v>
      </c>
      <c r="T5" s="47">
        <v>1</v>
      </c>
      <c r="U5" s="47">
        <v>1</v>
      </c>
      <c r="V5" s="46">
        <v>39967</v>
      </c>
      <c r="W5" s="47" t="s">
        <v>149</v>
      </c>
      <c r="X5" s="47" t="s">
        <v>547</v>
      </c>
      <c r="Y5" s="47" t="s">
        <v>546</v>
      </c>
      <c r="Z5" s="46">
        <v>40300</v>
      </c>
      <c r="AA5" s="47">
        <v>0</v>
      </c>
      <c r="AB5" s="46">
        <v>39967</v>
      </c>
      <c r="AC5" s="47">
        <v>0</v>
      </c>
      <c r="AD5" s="46">
        <v>39967</v>
      </c>
      <c r="AE5" s="47" t="s">
        <v>545</v>
      </c>
      <c r="AF5" s="46">
        <v>40300</v>
      </c>
      <c r="AG5" s="47">
        <v>0</v>
      </c>
      <c r="AH5" s="46">
        <v>40300</v>
      </c>
      <c r="AI5" s="47" t="s">
        <v>520</v>
      </c>
      <c r="AJ5" s="47">
        <v>2</v>
      </c>
      <c r="AK5" s="47" t="s">
        <v>142</v>
      </c>
      <c r="AL5" s="47">
        <v>3</v>
      </c>
      <c r="AM5" s="47">
        <v>1</v>
      </c>
      <c r="AN5" s="47">
        <v>0</v>
      </c>
      <c r="AO5" s="47">
        <v>0</v>
      </c>
      <c r="AP5" s="47">
        <v>0</v>
      </c>
      <c r="AQ5" s="47">
        <v>0</v>
      </c>
      <c r="AR5" s="47">
        <v>3</v>
      </c>
      <c r="AS5" s="47">
        <v>1</v>
      </c>
      <c r="AT5" s="47">
        <v>15190</v>
      </c>
      <c r="AU5" s="47"/>
      <c r="AV5" s="47">
        <v>31</v>
      </c>
      <c r="AW5" s="47"/>
      <c r="AX5" s="47"/>
      <c r="AY5" s="47">
        <v>3.7</v>
      </c>
      <c r="AZ5" s="47">
        <v>76</v>
      </c>
      <c r="BA5" s="47">
        <v>291</v>
      </c>
      <c r="BB5" s="47"/>
      <c r="BC5" s="47">
        <v>23</v>
      </c>
      <c r="BD5" s="47"/>
      <c r="BE5" s="47">
        <v>21</v>
      </c>
      <c r="BF5" s="47"/>
      <c r="BG5" s="56">
        <v>13</v>
      </c>
      <c r="BH5" s="59">
        <f t="shared" si="0"/>
        <v>40.925058267532897</v>
      </c>
      <c r="BI5" s="57">
        <v>40.925058267532897</v>
      </c>
      <c r="BJ5" s="47">
        <v>10.118</v>
      </c>
      <c r="BK5" s="47"/>
      <c r="BL5" s="47"/>
      <c r="BM5" s="47"/>
      <c r="BN5" s="47">
        <v>25120</v>
      </c>
      <c r="BO5" s="47">
        <v>20800</v>
      </c>
      <c r="BP5" s="47">
        <v>16</v>
      </c>
      <c r="BQ5" s="47">
        <v>26.4</v>
      </c>
      <c r="BR5" s="47">
        <v>10.5</v>
      </c>
      <c r="BS5" s="47">
        <v>3.7</v>
      </c>
      <c r="BT5" s="47">
        <v>76</v>
      </c>
      <c r="BU5" s="47">
        <v>291</v>
      </c>
      <c r="BV5" s="47">
        <v>214</v>
      </c>
      <c r="BW5" s="47">
        <v>23</v>
      </c>
      <c r="BX5" s="47">
        <v>16</v>
      </c>
      <c r="BY5" s="47">
        <v>21</v>
      </c>
      <c r="BZ5" s="56">
        <v>150.54</v>
      </c>
      <c r="CA5" s="59">
        <f t="shared" ref="CA5:CA12" si="1">3.78*LN(BU5/10)+11.2*LN(BS5)+9.57*LN(BY5/10)+6.43</f>
        <v>40.925058267532897</v>
      </c>
      <c r="CB5" s="57">
        <f t="shared" ref="CB5:CB13" si="2">(E5*0.1)+BU5*0.008+BS5*0.8+BY5*0.03</f>
        <v>10.103000000000002</v>
      </c>
      <c r="CC5" s="47"/>
      <c r="CD5" s="47"/>
      <c r="CE5" s="47"/>
      <c r="CF5" s="47">
        <v>25020</v>
      </c>
      <c r="CG5" s="47"/>
      <c r="CH5" s="47">
        <v>23</v>
      </c>
      <c r="CI5" s="47">
        <v>16.7</v>
      </c>
      <c r="CJ5" s="47">
        <v>10.5</v>
      </c>
      <c r="CK5" s="47">
        <v>2.7</v>
      </c>
      <c r="CL5" s="47">
        <v>64</v>
      </c>
      <c r="CM5" s="47">
        <v>30</v>
      </c>
      <c r="CN5" s="47">
        <v>396</v>
      </c>
      <c r="CO5" s="47">
        <v>8</v>
      </c>
      <c r="CP5" s="47">
        <v>19</v>
      </c>
      <c r="CQ5" s="47">
        <v>116.41999999999999</v>
      </c>
      <c r="CR5" s="47">
        <v>25660</v>
      </c>
      <c r="CS5" s="47"/>
      <c r="CT5" s="47">
        <v>30</v>
      </c>
      <c r="CU5" s="47">
        <v>11.7</v>
      </c>
      <c r="CV5" s="47">
        <v>10.5</v>
      </c>
      <c r="CW5" s="47">
        <v>2.2000000000000002</v>
      </c>
      <c r="CX5" s="47">
        <v>72</v>
      </c>
      <c r="CY5" s="47">
        <v>37</v>
      </c>
      <c r="CZ5" s="47">
        <v>487</v>
      </c>
      <c r="DA5" s="47">
        <v>-196</v>
      </c>
      <c r="DB5" s="47">
        <v>0</v>
      </c>
      <c r="DC5" s="47">
        <v>9</v>
      </c>
      <c r="DD5" s="47">
        <v>15</v>
      </c>
      <c r="DE5" s="47"/>
      <c r="DF5" s="47"/>
      <c r="DG5" s="47"/>
      <c r="DH5" s="47">
        <v>0.99902240791920116</v>
      </c>
      <c r="DI5" s="47">
        <v>33630</v>
      </c>
      <c r="DJ5" s="47"/>
      <c r="DK5" s="47">
        <v>25</v>
      </c>
      <c r="DL5" s="47">
        <v>10.5</v>
      </c>
      <c r="DM5" s="47">
        <v>15.2</v>
      </c>
      <c r="DN5" s="47"/>
      <c r="DO5" s="47">
        <v>63</v>
      </c>
      <c r="DP5" s="47">
        <v>39</v>
      </c>
      <c r="DQ5" s="47">
        <v>510</v>
      </c>
      <c r="DR5" s="47">
        <v>12</v>
      </c>
      <c r="DS5" s="47">
        <v>13</v>
      </c>
      <c r="DT5" s="47">
        <v>25130</v>
      </c>
      <c r="DU5" s="47"/>
      <c r="DV5" s="47">
        <v>28</v>
      </c>
      <c r="DW5" s="47">
        <v>13.1</v>
      </c>
      <c r="DX5" s="47">
        <v>10.5</v>
      </c>
      <c r="DY5" s="47">
        <v>2.2999999999999998</v>
      </c>
      <c r="DZ5" s="47">
        <v>54</v>
      </c>
      <c r="EA5" s="47">
        <v>47</v>
      </c>
      <c r="EB5" s="47">
        <v>502</v>
      </c>
      <c r="EC5" s="47">
        <v>10</v>
      </c>
      <c r="ED5" s="47">
        <v>10</v>
      </c>
      <c r="EE5" s="47">
        <v>20060</v>
      </c>
      <c r="EF5" s="47">
        <v>17900</v>
      </c>
      <c r="EG5" s="47">
        <v>30</v>
      </c>
      <c r="EH5" s="47">
        <v>11.9</v>
      </c>
      <c r="EI5" s="47">
        <v>10.5</v>
      </c>
      <c r="EJ5" s="47">
        <v>2.2000000000000002</v>
      </c>
      <c r="EK5" s="47">
        <v>45</v>
      </c>
      <c r="EL5" s="47">
        <v>44</v>
      </c>
      <c r="EM5" s="47">
        <v>446</v>
      </c>
      <c r="EN5" s="47">
        <v>360</v>
      </c>
      <c r="EO5" s="47">
        <v>14</v>
      </c>
      <c r="EP5" s="47">
        <v>11</v>
      </c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</row>
    <row r="6" spans="1:160" s="50" customFormat="1" x14ac:dyDescent="0.25">
      <c r="A6" s="15">
        <v>4</v>
      </c>
      <c r="B6" s="34" t="s">
        <v>151</v>
      </c>
      <c r="C6" s="48" t="s">
        <v>544</v>
      </c>
      <c r="D6" s="44">
        <v>23528</v>
      </c>
      <c r="E6" s="45">
        <v>45.924999999999997</v>
      </c>
      <c r="F6" s="43" t="s">
        <v>80</v>
      </c>
      <c r="G6" s="46">
        <v>40301</v>
      </c>
      <c r="H6" s="47">
        <v>0</v>
      </c>
      <c r="I6" s="48"/>
      <c r="J6" s="47">
        <v>0</v>
      </c>
      <c r="K6" s="47">
        <v>29</v>
      </c>
      <c r="L6" s="47">
        <v>200</v>
      </c>
      <c r="M6" s="47">
        <v>40</v>
      </c>
      <c r="N6" s="46">
        <v>40303</v>
      </c>
      <c r="O6" s="49">
        <v>63</v>
      </c>
      <c r="P6" s="46">
        <v>40367</v>
      </c>
      <c r="Q6" s="49">
        <v>0</v>
      </c>
      <c r="R6" s="47">
        <v>0</v>
      </c>
      <c r="S6" s="47"/>
      <c r="T6" s="47"/>
      <c r="U6" s="47">
        <v>1</v>
      </c>
      <c r="V6" s="46" t="s">
        <v>543</v>
      </c>
      <c r="W6" s="47" t="s">
        <v>152</v>
      </c>
      <c r="X6" s="47" t="s">
        <v>542</v>
      </c>
      <c r="Y6" s="47" t="s">
        <v>541</v>
      </c>
      <c r="Z6" s="46">
        <v>40301</v>
      </c>
      <c r="AA6" s="47">
        <v>0</v>
      </c>
      <c r="AB6" s="46">
        <v>40334</v>
      </c>
      <c r="AC6" s="47" t="s">
        <v>463</v>
      </c>
      <c r="AD6" s="46">
        <v>40301</v>
      </c>
      <c r="AE6" s="47" t="s">
        <v>463</v>
      </c>
      <c r="AF6" s="46">
        <v>40301</v>
      </c>
      <c r="AG6" s="47">
        <v>0</v>
      </c>
      <c r="AH6" s="46">
        <v>40301</v>
      </c>
      <c r="AI6" s="47" t="s">
        <v>520</v>
      </c>
      <c r="AJ6" s="47">
        <v>2</v>
      </c>
      <c r="AK6" s="47" t="s">
        <v>142</v>
      </c>
      <c r="AL6" s="47">
        <v>2</v>
      </c>
      <c r="AM6" s="47">
        <v>1</v>
      </c>
      <c r="AN6" s="47">
        <v>0</v>
      </c>
      <c r="AO6" s="47">
        <v>0</v>
      </c>
      <c r="AP6" s="47">
        <v>0</v>
      </c>
      <c r="AQ6" s="47">
        <v>0</v>
      </c>
      <c r="AR6" s="47">
        <v>3</v>
      </c>
      <c r="AS6" s="47">
        <v>1</v>
      </c>
      <c r="AT6" s="47">
        <v>13130</v>
      </c>
      <c r="AU6" s="47" t="s">
        <v>142</v>
      </c>
      <c r="AV6" s="47">
        <v>33</v>
      </c>
      <c r="AW6" s="47">
        <v>13.5</v>
      </c>
      <c r="AX6" s="47">
        <v>10.5</v>
      </c>
      <c r="AY6" s="47">
        <v>2.8</v>
      </c>
      <c r="AZ6" s="47">
        <v>127</v>
      </c>
      <c r="BA6" s="47">
        <v>182</v>
      </c>
      <c r="BB6" s="47">
        <v>131</v>
      </c>
      <c r="BC6" s="47">
        <v>14.3</v>
      </c>
      <c r="BD6" s="47">
        <v>32.6</v>
      </c>
      <c r="BE6" s="47">
        <v>16</v>
      </c>
      <c r="BF6" s="47">
        <v>80.3</v>
      </c>
      <c r="BG6" s="56">
        <v>13</v>
      </c>
      <c r="BH6" s="59">
        <f>3.78*LN(BA6/10)+11.2*LN(AY6)+9.57*LN(BE6/10)+6.43</f>
        <v>33.427045829943452</v>
      </c>
      <c r="BI6" s="57">
        <v>33.427045829943452</v>
      </c>
      <c r="BJ6" s="47">
        <v>8.7760000000000016</v>
      </c>
      <c r="BK6" s="47" t="s">
        <v>142</v>
      </c>
      <c r="BL6" s="47" t="s">
        <v>142</v>
      </c>
      <c r="BM6" s="47" t="s">
        <v>142</v>
      </c>
      <c r="BN6" s="47">
        <v>13130</v>
      </c>
      <c r="BO6" s="47" t="s">
        <v>142</v>
      </c>
      <c r="BP6" s="47">
        <v>33</v>
      </c>
      <c r="BQ6" s="47">
        <v>13.5</v>
      </c>
      <c r="BR6" s="47">
        <v>10.5</v>
      </c>
      <c r="BS6" s="47">
        <v>2.8</v>
      </c>
      <c r="BT6" s="47">
        <v>127</v>
      </c>
      <c r="BU6" s="47">
        <v>182</v>
      </c>
      <c r="BV6" s="47">
        <v>131</v>
      </c>
      <c r="BW6" s="47">
        <v>14.3</v>
      </c>
      <c r="BX6" s="47">
        <v>32.6</v>
      </c>
      <c r="BY6" s="47">
        <v>16</v>
      </c>
      <c r="BZ6" s="56">
        <v>80.3</v>
      </c>
      <c r="CA6" s="59">
        <f t="shared" si="1"/>
        <v>33.427045829943452</v>
      </c>
      <c r="CB6" s="57">
        <f t="shared" si="2"/>
        <v>8.7685000000000013</v>
      </c>
      <c r="CC6" s="47" t="s">
        <v>142</v>
      </c>
      <c r="CD6" s="47" t="s">
        <v>142</v>
      </c>
      <c r="CE6" s="47" t="s">
        <v>142</v>
      </c>
      <c r="CF6" s="47" t="s">
        <v>142</v>
      </c>
      <c r="CG6" s="47" t="s">
        <v>142</v>
      </c>
      <c r="CH6" s="47" t="s">
        <v>142</v>
      </c>
      <c r="CI6" s="47" t="s">
        <v>142</v>
      </c>
      <c r="CJ6" s="47" t="s">
        <v>142</v>
      </c>
      <c r="CK6" s="47" t="s">
        <v>142</v>
      </c>
      <c r="CL6" s="47" t="s">
        <v>142</v>
      </c>
      <c r="CM6" s="47" t="s">
        <v>142</v>
      </c>
      <c r="CN6" s="47" t="s">
        <v>142</v>
      </c>
      <c r="CO6" s="47" t="s">
        <v>142</v>
      </c>
      <c r="CP6" s="47" t="s">
        <v>142</v>
      </c>
      <c r="CQ6" s="47" t="s">
        <v>142</v>
      </c>
      <c r="CR6" s="47">
        <v>13680</v>
      </c>
      <c r="CS6" s="47" t="s">
        <v>142</v>
      </c>
      <c r="CT6" s="47">
        <v>31</v>
      </c>
      <c r="CU6" s="47">
        <v>13.5</v>
      </c>
      <c r="CV6" s="47">
        <v>10.5</v>
      </c>
      <c r="CW6" s="47">
        <v>2.1</v>
      </c>
      <c r="CX6" s="47" t="s">
        <v>142</v>
      </c>
      <c r="CY6" s="47">
        <v>19.5</v>
      </c>
      <c r="CZ6" s="47">
        <v>217</v>
      </c>
      <c r="DA6" s="47">
        <v>-35</v>
      </c>
      <c r="DB6" s="47">
        <v>0</v>
      </c>
      <c r="DC6" s="47">
        <v>11.6</v>
      </c>
      <c r="DD6" s="47">
        <v>9</v>
      </c>
      <c r="DE6" s="47" t="s">
        <v>142</v>
      </c>
      <c r="DF6" s="47" t="s">
        <v>142</v>
      </c>
      <c r="DG6" s="47" t="s">
        <v>142</v>
      </c>
      <c r="DH6" s="47">
        <v>0.94134158319034711</v>
      </c>
      <c r="DI6" s="47">
        <v>11600</v>
      </c>
      <c r="DJ6" s="47">
        <v>9500</v>
      </c>
      <c r="DK6" s="47">
        <v>36</v>
      </c>
      <c r="DL6" s="47">
        <v>10.5</v>
      </c>
      <c r="DM6" s="47">
        <v>9</v>
      </c>
      <c r="DN6" s="47">
        <v>1.8</v>
      </c>
      <c r="DO6" s="47">
        <v>113</v>
      </c>
      <c r="DP6" s="47">
        <v>22</v>
      </c>
      <c r="DQ6" s="47">
        <v>236</v>
      </c>
      <c r="DR6" s="47">
        <v>23</v>
      </c>
      <c r="DS6" s="47">
        <v>8</v>
      </c>
      <c r="DT6" s="47">
        <v>7900</v>
      </c>
      <c r="DU6" s="47">
        <v>7200</v>
      </c>
      <c r="DV6" s="47">
        <v>34</v>
      </c>
      <c r="DW6" s="47">
        <v>10.5</v>
      </c>
      <c r="DX6" s="47">
        <v>9.9</v>
      </c>
      <c r="DY6" s="47">
        <v>1.9</v>
      </c>
      <c r="DZ6" s="47">
        <v>132</v>
      </c>
      <c r="EA6" s="47">
        <v>20</v>
      </c>
      <c r="EB6" s="47">
        <v>258</v>
      </c>
      <c r="EC6" s="47">
        <v>23</v>
      </c>
      <c r="ED6" s="47">
        <v>10</v>
      </c>
      <c r="EE6" s="47">
        <v>9840</v>
      </c>
      <c r="EF6" s="47" t="s">
        <v>142</v>
      </c>
      <c r="EG6" s="47">
        <v>35</v>
      </c>
      <c r="EH6" s="47">
        <v>9.6999999999999993</v>
      </c>
      <c r="EI6" s="47">
        <v>10.5</v>
      </c>
      <c r="EJ6" s="47">
        <v>1.9</v>
      </c>
      <c r="EK6" s="47">
        <v>103</v>
      </c>
      <c r="EL6" s="47">
        <v>19</v>
      </c>
      <c r="EM6" s="47">
        <v>219</v>
      </c>
      <c r="EN6" s="47">
        <v>147</v>
      </c>
      <c r="EO6" s="47">
        <v>28</v>
      </c>
      <c r="EP6" s="47">
        <v>14</v>
      </c>
      <c r="EQ6" s="47">
        <v>3</v>
      </c>
      <c r="ER6" s="47">
        <v>1</v>
      </c>
      <c r="ES6" s="47">
        <v>6040</v>
      </c>
      <c r="ET6" s="47" t="s">
        <v>142</v>
      </c>
      <c r="EU6" s="47">
        <v>16</v>
      </c>
      <c r="EV6" s="47">
        <v>27.3</v>
      </c>
      <c r="EW6" s="47">
        <v>10.5</v>
      </c>
      <c r="EX6" s="47">
        <v>4.3</v>
      </c>
      <c r="EY6" s="47">
        <v>41</v>
      </c>
      <c r="EZ6" s="47">
        <v>253</v>
      </c>
      <c r="FA6" s="47">
        <v>36</v>
      </c>
      <c r="FB6" s="47">
        <v>22</v>
      </c>
      <c r="FC6" s="47">
        <v>18</v>
      </c>
      <c r="FD6" s="47">
        <v>0</v>
      </c>
    </row>
    <row r="7" spans="1:160" s="50" customFormat="1" x14ac:dyDescent="0.25">
      <c r="A7" s="15">
        <v>5</v>
      </c>
      <c r="B7" s="34" t="s">
        <v>154</v>
      </c>
      <c r="C7" s="48" t="s">
        <v>718</v>
      </c>
      <c r="D7" s="44">
        <v>18883</v>
      </c>
      <c r="E7" s="45">
        <v>59.674999999999997</v>
      </c>
      <c r="F7" s="43" t="s">
        <v>85</v>
      </c>
      <c r="G7" s="46">
        <v>40678</v>
      </c>
      <c r="H7" s="47">
        <v>1</v>
      </c>
      <c r="I7" s="48" t="s">
        <v>540</v>
      </c>
      <c r="J7" s="47">
        <v>0</v>
      </c>
      <c r="K7" s="47">
        <v>29.6</v>
      </c>
      <c r="L7" s="47">
        <v>50</v>
      </c>
      <c r="M7" s="47">
        <v>40</v>
      </c>
      <c r="N7" s="46">
        <v>40683</v>
      </c>
      <c r="O7" s="49">
        <v>26</v>
      </c>
      <c r="P7" s="46">
        <v>40710</v>
      </c>
      <c r="Q7" s="49">
        <v>1</v>
      </c>
      <c r="R7" s="47">
        <v>0</v>
      </c>
      <c r="S7" s="47"/>
      <c r="T7" s="47"/>
      <c r="U7" s="47">
        <v>0</v>
      </c>
      <c r="V7" s="47"/>
      <c r="W7" s="47"/>
      <c r="X7" s="47"/>
      <c r="Y7" s="47"/>
      <c r="Z7" s="46">
        <v>40678</v>
      </c>
      <c r="AA7" s="47">
        <v>0</v>
      </c>
      <c r="AB7" s="46">
        <v>40691</v>
      </c>
      <c r="AC7" s="47"/>
      <c r="AD7" s="46">
        <v>40691</v>
      </c>
      <c r="AE7" s="47"/>
      <c r="AF7" s="47" t="s">
        <v>539</v>
      </c>
      <c r="AG7" s="47">
        <v>0</v>
      </c>
      <c r="AH7" s="46">
        <v>40682</v>
      </c>
      <c r="AI7" s="47" t="s">
        <v>520</v>
      </c>
      <c r="AJ7" s="47">
        <v>2</v>
      </c>
      <c r="AK7" s="47" t="s">
        <v>142</v>
      </c>
      <c r="AL7" s="47">
        <v>1</v>
      </c>
      <c r="AM7" s="47">
        <v>1</v>
      </c>
      <c r="AN7" s="47">
        <v>0</v>
      </c>
      <c r="AO7" s="47">
        <v>0</v>
      </c>
      <c r="AP7" s="47">
        <v>0</v>
      </c>
      <c r="AQ7" s="47">
        <v>0</v>
      </c>
      <c r="AR7" s="47">
        <v>2</v>
      </c>
      <c r="AS7" s="47">
        <v>1</v>
      </c>
      <c r="AT7" s="47">
        <v>6190</v>
      </c>
      <c r="AU7" s="47">
        <v>5010</v>
      </c>
      <c r="AV7" s="47">
        <v>27</v>
      </c>
      <c r="AW7" s="47" t="s">
        <v>142</v>
      </c>
      <c r="AX7" s="47" t="s">
        <v>142</v>
      </c>
      <c r="AY7" s="47">
        <v>2.9</v>
      </c>
      <c r="AZ7" s="47">
        <v>160</v>
      </c>
      <c r="BA7" s="47">
        <v>127</v>
      </c>
      <c r="BB7" s="47">
        <v>57.6</v>
      </c>
      <c r="BC7" s="47">
        <v>26</v>
      </c>
      <c r="BD7" s="47" t="s">
        <v>142</v>
      </c>
      <c r="BE7" s="47">
        <v>4.8</v>
      </c>
      <c r="BF7" s="47"/>
      <c r="BG7" s="56">
        <v>12</v>
      </c>
      <c r="BH7" s="59">
        <f>3.78*LN(BA7/10)+11.2*LN(AY7)+9.57*LN(BE7/10)+6.43</f>
        <v>20.937930784093659</v>
      </c>
      <c r="BI7" s="57">
        <v>20.937930784093659</v>
      </c>
      <c r="BJ7" s="47">
        <v>9.48</v>
      </c>
      <c r="BK7" s="47"/>
      <c r="BL7" s="47"/>
      <c r="BM7" s="47"/>
      <c r="BN7" s="47">
        <v>7840</v>
      </c>
      <c r="BO7" s="47" t="s">
        <v>142</v>
      </c>
      <c r="BP7" s="47">
        <v>14</v>
      </c>
      <c r="BQ7" s="47" t="s">
        <v>142</v>
      </c>
      <c r="BR7" s="47" t="s">
        <v>142</v>
      </c>
      <c r="BS7" s="47" t="s">
        <v>142</v>
      </c>
      <c r="BT7" s="47">
        <v>104</v>
      </c>
      <c r="BU7" s="47">
        <v>213</v>
      </c>
      <c r="BV7" s="47">
        <v>174</v>
      </c>
      <c r="BW7" s="47" t="s">
        <v>142</v>
      </c>
      <c r="BX7" s="47" t="s">
        <v>142</v>
      </c>
      <c r="BY7" s="47">
        <v>7.2</v>
      </c>
      <c r="BZ7" s="56"/>
      <c r="CA7" s="59"/>
      <c r="CB7" s="57"/>
      <c r="CC7" s="47" t="s">
        <v>142</v>
      </c>
      <c r="CD7" s="47" t="s">
        <v>142</v>
      </c>
      <c r="CE7" s="47" t="s">
        <v>142</v>
      </c>
      <c r="CF7" s="47">
        <v>9150</v>
      </c>
      <c r="CG7" s="47" t="s">
        <v>142</v>
      </c>
      <c r="CH7" s="47">
        <v>14</v>
      </c>
      <c r="CI7" s="47" t="s">
        <v>142</v>
      </c>
      <c r="CJ7" s="47" t="s">
        <v>142</v>
      </c>
      <c r="CK7" s="47" t="s">
        <v>142</v>
      </c>
      <c r="CL7" s="47">
        <v>140</v>
      </c>
      <c r="CM7" s="47" t="s">
        <v>142</v>
      </c>
      <c r="CN7" s="47">
        <v>248.8</v>
      </c>
      <c r="CO7" s="47">
        <v>20.9</v>
      </c>
      <c r="CP7" s="47">
        <v>15.1</v>
      </c>
      <c r="CQ7" s="47"/>
      <c r="CR7" s="47">
        <v>7250</v>
      </c>
      <c r="CS7" s="47" t="s">
        <v>142</v>
      </c>
      <c r="CT7" s="47">
        <v>16</v>
      </c>
      <c r="CU7" s="47" t="s">
        <v>142</v>
      </c>
      <c r="CV7" s="47" t="s">
        <v>142</v>
      </c>
      <c r="CW7" s="47" t="s">
        <v>142</v>
      </c>
      <c r="CX7" s="47">
        <v>84</v>
      </c>
      <c r="CY7" s="47">
        <v>32</v>
      </c>
      <c r="CZ7" s="47">
        <v>291</v>
      </c>
      <c r="DA7" s="47">
        <v>-78</v>
      </c>
      <c r="DB7" s="47">
        <v>0</v>
      </c>
      <c r="DC7" s="47">
        <v>14.4</v>
      </c>
      <c r="DD7" s="47">
        <v>14.5</v>
      </c>
      <c r="DE7" s="47" t="s">
        <v>142</v>
      </c>
      <c r="DF7" s="47" t="s">
        <v>142</v>
      </c>
      <c r="DG7" s="47" t="s">
        <v>142</v>
      </c>
      <c r="DH7" s="47"/>
      <c r="DI7" s="47">
        <v>8080</v>
      </c>
      <c r="DJ7" s="47" t="s">
        <v>142</v>
      </c>
      <c r="DK7" s="47">
        <v>22</v>
      </c>
      <c r="DL7" s="47">
        <v>11</v>
      </c>
      <c r="DM7" s="47">
        <v>21</v>
      </c>
      <c r="DN7" s="47">
        <v>2.9</v>
      </c>
      <c r="DO7" s="47">
        <v>59</v>
      </c>
      <c r="DP7" s="47" t="s">
        <v>142</v>
      </c>
      <c r="DQ7" s="47">
        <v>219</v>
      </c>
      <c r="DR7" s="47" t="s">
        <v>142</v>
      </c>
      <c r="DS7" s="47">
        <v>9</v>
      </c>
      <c r="DT7" s="47">
        <v>4790</v>
      </c>
      <c r="DU7" s="47" t="s">
        <v>142</v>
      </c>
      <c r="DV7" s="47">
        <v>10</v>
      </c>
      <c r="DW7" s="47">
        <v>70</v>
      </c>
      <c r="DX7" s="47">
        <v>11</v>
      </c>
      <c r="DY7" s="47">
        <v>8</v>
      </c>
      <c r="DZ7" s="47">
        <v>53</v>
      </c>
      <c r="EA7" s="47" t="s">
        <v>142</v>
      </c>
      <c r="EB7" s="47">
        <v>126</v>
      </c>
      <c r="EC7" s="47">
        <v>15</v>
      </c>
      <c r="ED7" s="47">
        <v>8</v>
      </c>
      <c r="EE7" s="47">
        <v>3050</v>
      </c>
      <c r="EF7" s="47" t="s">
        <v>142</v>
      </c>
      <c r="EG7" s="47">
        <v>32</v>
      </c>
      <c r="EH7" s="47">
        <v>11.4</v>
      </c>
      <c r="EI7" s="47">
        <v>11</v>
      </c>
      <c r="EJ7" s="47">
        <v>2</v>
      </c>
      <c r="EK7" s="47">
        <v>48</v>
      </c>
      <c r="EL7" s="47" t="s">
        <v>142</v>
      </c>
      <c r="EM7" s="47">
        <v>127</v>
      </c>
      <c r="EN7" s="47">
        <v>64</v>
      </c>
      <c r="EO7" s="47">
        <v>11</v>
      </c>
      <c r="EP7" s="47">
        <v>8</v>
      </c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</row>
    <row r="8" spans="1:160" s="50" customFormat="1" x14ac:dyDescent="0.25">
      <c r="A8" s="15">
        <v>6</v>
      </c>
      <c r="B8" s="34" t="s">
        <v>156</v>
      </c>
      <c r="C8" s="48" t="s">
        <v>538</v>
      </c>
      <c r="D8" s="44">
        <v>23391</v>
      </c>
      <c r="E8" s="45">
        <v>48.06388888888889</v>
      </c>
      <c r="F8" s="43" t="s">
        <v>80</v>
      </c>
      <c r="G8" s="46">
        <v>40947</v>
      </c>
      <c r="H8" s="47">
        <v>1</v>
      </c>
      <c r="I8" s="48" t="s">
        <v>537</v>
      </c>
      <c r="J8" s="47">
        <v>0</v>
      </c>
      <c r="K8" s="47"/>
      <c r="L8" s="47">
        <v>60</v>
      </c>
      <c r="M8" s="47">
        <v>40</v>
      </c>
      <c r="N8" s="46">
        <v>40954</v>
      </c>
      <c r="O8" s="49">
        <v>23</v>
      </c>
      <c r="P8" s="46">
        <v>40976</v>
      </c>
      <c r="Q8" s="49">
        <v>0</v>
      </c>
      <c r="R8" s="47">
        <v>0</v>
      </c>
      <c r="S8" s="47"/>
      <c r="T8" s="47"/>
      <c r="U8" s="47">
        <v>1</v>
      </c>
      <c r="V8" s="47" t="s">
        <v>536</v>
      </c>
      <c r="W8" s="47" t="s">
        <v>157</v>
      </c>
      <c r="X8" s="47" t="s">
        <v>535</v>
      </c>
      <c r="Y8" s="47" t="s">
        <v>534</v>
      </c>
      <c r="Z8" s="46">
        <v>40970</v>
      </c>
      <c r="AA8" s="47" t="s">
        <v>533</v>
      </c>
      <c r="AB8" s="46">
        <v>40979</v>
      </c>
      <c r="AC8" s="47">
        <v>0</v>
      </c>
      <c r="AD8" s="46">
        <v>40978</v>
      </c>
      <c r="AE8" s="47" t="s">
        <v>523</v>
      </c>
      <c r="AF8" s="46">
        <v>40969</v>
      </c>
      <c r="AG8" s="47" t="s">
        <v>523</v>
      </c>
      <c r="AH8" s="46">
        <v>40973</v>
      </c>
      <c r="AI8" s="47" t="s">
        <v>520</v>
      </c>
      <c r="AJ8" s="47">
        <v>2</v>
      </c>
      <c r="AK8" s="47"/>
      <c r="AL8" s="47">
        <v>3</v>
      </c>
      <c r="AM8" s="47">
        <v>1</v>
      </c>
      <c r="AN8" s="47">
        <v>0</v>
      </c>
      <c r="AO8" s="47">
        <v>0</v>
      </c>
      <c r="AP8" s="47">
        <v>0</v>
      </c>
      <c r="AQ8" s="47">
        <v>0</v>
      </c>
      <c r="AR8" s="47">
        <v>3</v>
      </c>
      <c r="AS8" s="47">
        <v>2</v>
      </c>
      <c r="AT8" s="47">
        <v>15550</v>
      </c>
      <c r="AU8" s="47">
        <v>14150</v>
      </c>
      <c r="AV8" s="47">
        <v>42</v>
      </c>
      <c r="AW8" s="47">
        <v>8.5</v>
      </c>
      <c r="AX8" s="47">
        <v>13.6</v>
      </c>
      <c r="AY8" s="47">
        <v>1.89</v>
      </c>
      <c r="AZ8" s="47">
        <v>181</v>
      </c>
      <c r="BA8" s="47">
        <v>86</v>
      </c>
      <c r="BB8" s="47">
        <v>47</v>
      </c>
      <c r="BC8" s="47">
        <v>25</v>
      </c>
      <c r="BD8" s="47">
        <v>55</v>
      </c>
      <c r="BE8" s="47">
        <v>6.8999999999999995</v>
      </c>
      <c r="BF8" s="47">
        <v>47.699999999999996</v>
      </c>
      <c r="BG8" s="56">
        <v>13</v>
      </c>
      <c r="BH8" s="59">
        <f>3.78*LN(BA8/10)+11.2*LN(AY8)+9.57*LN(BE8/10)+6.43</f>
        <v>18.142242183011874</v>
      </c>
      <c r="BI8" s="57">
        <v>18.142242183011874</v>
      </c>
      <c r="BJ8" s="47">
        <v>7.2070000000000007</v>
      </c>
      <c r="BK8" s="47" t="s">
        <v>142</v>
      </c>
      <c r="BL8" s="47" t="s">
        <v>142</v>
      </c>
      <c r="BM8" s="47" t="s">
        <v>142</v>
      </c>
      <c r="BN8" s="47">
        <v>16160</v>
      </c>
      <c r="BO8" s="47">
        <v>14540</v>
      </c>
      <c r="BP8" s="47">
        <v>32</v>
      </c>
      <c r="BQ8" s="47">
        <v>12.7</v>
      </c>
      <c r="BR8" s="47">
        <v>13.6</v>
      </c>
      <c r="BS8" s="47">
        <v>2.37</v>
      </c>
      <c r="BT8" s="47" t="s">
        <v>142</v>
      </c>
      <c r="BU8" s="47">
        <v>128</v>
      </c>
      <c r="BV8" s="47">
        <v>67</v>
      </c>
      <c r="BW8" s="47">
        <v>20</v>
      </c>
      <c r="BX8" s="47">
        <v>31</v>
      </c>
      <c r="BY8" s="47">
        <v>10.199999999999999</v>
      </c>
      <c r="BZ8" s="56">
        <v>71.22</v>
      </c>
      <c r="CA8" s="59">
        <f t="shared" si="1"/>
        <v>25.920781386969946</v>
      </c>
      <c r="CB8" s="57">
        <f t="shared" si="2"/>
        <v>8.0323888888888888</v>
      </c>
      <c r="CC8" s="47" t="s">
        <v>142</v>
      </c>
      <c r="CD8" s="47" t="s">
        <v>142</v>
      </c>
      <c r="CE8" s="47" t="s">
        <v>142</v>
      </c>
      <c r="CF8" s="47">
        <v>20490</v>
      </c>
      <c r="CG8" s="47">
        <v>17620</v>
      </c>
      <c r="CH8" s="47">
        <v>19</v>
      </c>
      <c r="CI8" s="47">
        <v>25.1</v>
      </c>
      <c r="CJ8" s="47">
        <v>13.6</v>
      </c>
      <c r="CK8" s="47">
        <v>3.94</v>
      </c>
      <c r="CL8" s="47">
        <v>135</v>
      </c>
      <c r="CM8" s="47">
        <v>22</v>
      </c>
      <c r="CN8" s="47">
        <v>125</v>
      </c>
      <c r="CO8" s="47">
        <v>26.3</v>
      </c>
      <c r="CP8" s="47">
        <v>9</v>
      </c>
      <c r="CQ8" s="47">
        <v>127.96</v>
      </c>
      <c r="CR8" s="47">
        <v>21520</v>
      </c>
      <c r="CS8" s="47">
        <v>18940</v>
      </c>
      <c r="CT8" s="47">
        <v>20</v>
      </c>
      <c r="CU8" s="47">
        <v>23.7</v>
      </c>
      <c r="CV8" s="47">
        <v>13.6</v>
      </c>
      <c r="CW8" s="47">
        <v>3.75</v>
      </c>
      <c r="CX8" s="47">
        <v>101</v>
      </c>
      <c r="CY8" s="47">
        <v>21</v>
      </c>
      <c r="CZ8" s="47">
        <v>132</v>
      </c>
      <c r="DA8" s="47">
        <v>-4</v>
      </c>
      <c r="DB8" s="47">
        <v>0</v>
      </c>
      <c r="DC8" s="47">
        <v>14.9</v>
      </c>
      <c r="DD8" s="47">
        <v>9</v>
      </c>
      <c r="DE8" s="47" t="s">
        <v>142</v>
      </c>
      <c r="DF8" s="47" t="s">
        <v>142</v>
      </c>
      <c r="DG8" s="47" t="s">
        <v>142</v>
      </c>
      <c r="DH8" s="47">
        <v>0.62328918721728943</v>
      </c>
      <c r="DI8" s="47">
        <v>17630</v>
      </c>
      <c r="DJ8" s="47">
        <v>16400</v>
      </c>
      <c r="DK8" s="47">
        <v>25</v>
      </c>
      <c r="DL8" s="47">
        <v>18.600000000000001</v>
      </c>
      <c r="DM8" s="47">
        <v>13.6</v>
      </c>
      <c r="DN8" s="47">
        <v>3.09</v>
      </c>
      <c r="DO8" s="47">
        <v>90</v>
      </c>
      <c r="DP8" s="47">
        <v>23</v>
      </c>
      <c r="DQ8" s="47">
        <v>130</v>
      </c>
      <c r="DR8" s="47">
        <v>21.7</v>
      </c>
      <c r="DS8" s="47">
        <v>14.3</v>
      </c>
      <c r="DT8" s="47">
        <v>9680</v>
      </c>
      <c r="DU8" s="47">
        <v>7600</v>
      </c>
      <c r="DV8" s="47">
        <v>36</v>
      </c>
      <c r="DW8" s="47">
        <v>11</v>
      </c>
      <c r="DX8" s="47">
        <v>9.3000000000000007</v>
      </c>
      <c r="DY8" s="47">
        <v>1.8</v>
      </c>
      <c r="DZ8" s="47">
        <v>86</v>
      </c>
      <c r="EA8" s="47">
        <v>29</v>
      </c>
      <c r="EB8" s="47">
        <v>142</v>
      </c>
      <c r="EC8" s="47">
        <v>30</v>
      </c>
      <c r="ED8" s="47">
        <v>13</v>
      </c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</row>
    <row r="9" spans="1:160" s="50" customFormat="1" x14ac:dyDescent="0.25">
      <c r="A9" s="15">
        <v>7</v>
      </c>
      <c r="B9" s="34" t="s">
        <v>159</v>
      </c>
      <c r="C9" s="48" t="s">
        <v>532</v>
      </c>
      <c r="D9" s="44">
        <v>26261</v>
      </c>
      <c r="E9" s="45">
        <v>40.35</v>
      </c>
      <c r="F9" s="43" t="s">
        <v>80</v>
      </c>
      <c r="G9" s="46">
        <v>40998</v>
      </c>
      <c r="H9" s="47">
        <v>0</v>
      </c>
      <c r="I9" s="48"/>
      <c r="J9" s="47">
        <v>0</v>
      </c>
      <c r="K9" s="47">
        <v>34</v>
      </c>
      <c r="L9" s="47">
        <v>100</v>
      </c>
      <c r="M9" s="47">
        <v>40</v>
      </c>
      <c r="N9" s="46">
        <v>41002</v>
      </c>
      <c r="O9" s="49">
        <v>33</v>
      </c>
      <c r="P9" s="46">
        <v>41035</v>
      </c>
      <c r="Q9" s="49">
        <v>0</v>
      </c>
      <c r="R9" s="47">
        <v>1</v>
      </c>
      <c r="S9" s="46">
        <v>41016</v>
      </c>
      <c r="T9" s="47">
        <v>1</v>
      </c>
      <c r="U9" s="47">
        <v>0</v>
      </c>
      <c r="V9" s="47"/>
      <c r="W9" s="47"/>
      <c r="X9" s="47"/>
      <c r="Y9" s="47"/>
      <c r="Z9" s="46">
        <v>41015</v>
      </c>
      <c r="AA9" s="47">
        <v>0</v>
      </c>
      <c r="AB9" s="46">
        <v>41016</v>
      </c>
      <c r="AC9" s="47">
        <v>0</v>
      </c>
      <c r="AD9" s="46">
        <v>41018</v>
      </c>
      <c r="AE9" s="47" t="s">
        <v>531</v>
      </c>
      <c r="AF9" s="46">
        <v>41013</v>
      </c>
      <c r="AG9" s="47" t="s">
        <v>523</v>
      </c>
      <c r="AH9" s="46">
        <v>41017</v>
      </c>
      <c r="AI9" s="47" t="s">
        <v>520</v>
      </c>
      <c r="AJ9" s="47">
        <v>1</v>
      </c>
      <c r="AK9" s="47" t="s">
        <v>142</v>
      </c>
      <c r="AL9" s="47">
        <v>3</v>
      </c>
      <c r="AM9" s="47">
        <v>1</v>
      </c>
      <c r="AN9" s="47">
        <v>0</v>
      </c>
      <c r="AO9" s="47">
        <v>0</v>
      </c>
      <c r="AP9" s="47">
        <v>0</v>
      </c>
      <c r="AQ9" s="47">
        <v>0</v>
      </c>
      <c r="AR9" s="47">
        <v>2</v>
      </c>
      <c r="AS9" s="47">
        <v>1</v>
      </c>
      <c r="AT9" s="47">
        <v>7500</v>
      </c>
      <c r="AU9" s="47">
        <v>5680</v>
      </c>
      <c r="AV9" s="47">
        <v>39</v>
      </c>
      <c r="AW9" s="47" t="s">
        <v>142</v>
      </c>
      <c r="AX9" s="47" t="s">
        <v>142</v>
      </c>
      <c r="AY9" s="47">
        <v>1.7</v>
      </c>
      <c r="AZ9" s="47">
        <v>305</v>
      </c>
      <c r="BA9" s="47">
        <v>109</v>
      </c>
      <c r="BB9" s="47">
        <v>78</v>
      </c>
      <c r="BC9" s="47">
        <v>40</v>
      </c>
      <c r="BD9" s="47">
        <v>9</v>
      </c>
      <c r="BE9" s="47">
        <v>7</v>
      </c>
      <c r="BF9" s="47"/>
      <c r="BG9" s="56">
        <v>9</v>
      </c>
      <c r="BH9" s="59">
        <f>3.78*LN(BA9/10)+11.2*LN(AY9)+9.57*LN(BE9/10)+6.43</f>
        <v>17.989180541711306</v>
      </c>
      <c r="BI9" s="57">
        <v>17.989180541711306</v>
      </c>
      <c r="BJ9" s="47">
        <v>6.5420000000000007</v>
      </c>
      <c r="BK9" s="47" t="s">
        <v>142</v>
      </c>
      <c r="BL9" s="47" t="s">
        <v>142</v>
      </c>
      <c r="BM9" s="47" t="s">
        <v>142</v>
      </c>
      <c r="BN9" s="47">
        <v>6600</v>
      </c>
      <c r="BO9" s="47">
        <v>4470</v>
      </c>
      <c r="BP9" s="47">
        <v>17</v>
      </c>
      <c r="BQ9" s="47" t="s">
        <v>142</v>
      </c>
      <c r="BR9" s="47" t="s">
        <v>142</v>
      </c>
      <c r="BS9" s="47">
        <v>3.6</v>
      </c>
      <c r="BT9" s="47">
        <v>125</v>
      </c>
      <c r="BU9" s="47">
        <v>256</v>
      </c>
      <c r="BV9" s="47">
        <v>186</v>
      </c>
      <c r="BW9" s="47">
        <v>40</v>
      </c>
      <c r="BX9" s="47">
        <v>10</v>
      </c>
      <c r="BY9" s="47">
        <v>7.7</v>
      </c>
      <c r="BZ9" s="56"/>
      <c r="CA9" s="59">
        <f t="shared" si="1"/>
        <v>30.532197365024089</v>
      </c>
      <c r="CB9" s="57">
        <f t="shared" si="2"/>
        <v>9.1940000000000008</v>
      </c>
      <c r="CC9" s="47" t="s">
        <v>142</v>
      </c>
      <c r="CD9" s="47" t="s">
        <v>142</v>
      </c>
      <c r="CE9" s="47" t="s">
        <v>142</v>
      </c>
      <c r="CF9" s="47">
        <v>7200</v>
      </c>
      <c r="CG9" s="47">
        <v>6400</v>
      </c>
      <c r="CH9" s="47">
        <v>19</v>
      </c>
      <c r="CI9" s="47" t="s">
        <v>142</v>
      </c>
      <c r="CJ9" s="47" t="s">
        <v>142</v>
      </c>
      <c r="CK9" s="47" t="s">
        <v>142</v>
      </c>
      <c r="CL9" s="47">
        <v>99</v>
      </c>
      <c r="CM9" s="47" t="s">
        <v>142</v>
      </c>
      <c r="CN9" s="47">
        <v>276</v>
      </c>
      <c r="CO9" s="47">
        <v>9</v>
      </c>
      <c r="CP9" s="47">
        <v>7.8</v>
      </c>
      <c r="CQ9" s="47"/>
      <c r="CR9" s="47">
        <v>12500</v>
      </c>
      <c r="CS9" s="47">
        <v>9730</v>
      </c>
      <c r="CT9" s="47">
        <v>20</v>
      </c>
      <c r="CU9" s="47" t="s">
        <v>142</v>
      </c>
      <c r="CV9" s="47" t="s">
        <v>142</v>
      </c>
      <c r="CW9" s="47">
        <v>3.6</v>
      </c>
      <c r="CX9" s="47">
        <v>151</v>
      </c>
      <c r="CY9" s="47" t="s">
        <v>142</v>
      </c>
      <c r="CZ9" s="47">
        <v>390</v>
      </c>
      <c r="DA9" s="47">
        <v>-134</v>
      </c>
      <c r="DB9" s="47">
        <v>0</v>
      </c>
      <c r="DC9" s="47">
        <v>11</v>
      </c>
      <c r="DD9" s="47">
        <v>10</v>
      </c>
      <c r="DE9" s="47" t="s">
        <v>142</v>
      </c>
      <c r="DF9" s="47" t="s">
        <v>142</v>
      </c>
      <c r="DG9" s="47" t="s">
        <v>142</v>
      </c>
      <c r="DH9" s="47"/>
      <c r="DI9" s="47">
        <v>15440</v>
      </c>
      <c r="DJ9" s="47">
        <v>13800</v>
      </c>
      <c r="DK9" s="47">
        <v>28</v>
      </c>
      <c r="DL9" s="47">
        <v>11</v>
      </c>
      <c r="DM9" s="47">
        <v>14.3</v>
      </c>
      <c r="DN9" s="47">
        <v>2.2999999999999998</v>
      </c>
      <c r="DO9" s="47">
        <v>244</v>
      </c>
      <c r="DP9" s="47">
        <v>30</v>
      </c>
      <c r="DQ9" s="47">
        <v>492</v>
      </c>
      <c r="DR9" s="47">
        <v>16</v>
      </c>
      <c r="DS9" s="47">
        <v>35</v>
      </c>
      <c r="DT9" s="47">
        <v>13690</v>
      </c>
      <c r="DU9" s="47">
        <v>12300</v>
      </c>
      <c r="DV9" s="47">
        <v>36</v>
      </c>
      <c r="DW9" s="47">
        <v>11</v>
      </c>
      <c r="DX9" s="47">
        <v>9.5</v>
      </c>
      <c r="DY9" s="47">
        <v>1.9</v>
      </c>
      <c r="DZ9" s="47">
        <v>112</v>
      </c>
      <c r="EA9" s="47" t="s">
        <v>142</v>
      </c>
      <c r="EB9" s="47">
        <v>412</v>
      </c>
      <c r="EC9" s="47">
        <v>14</v>
      </c>
      <c r="ED9" s="47">
        <v>28</v>
      </c>
      <c r="EE9" s="47">
        <v>12520</v>
      </c>
      <c r="EF9" s="47" t="s">
        <v>142</v>
      </c>
      <c r="EG9" s="47">
        <v>36</v>
      </c>
      <c r="EH9" s="47">
        <v>9.1</v>
      </c>
      <c r="EI9" s="47">
        <v>11</v>
      </c>
      <c r="EJ9" s="47">
        <v>1.9</v>
      </c>
      <c r="EK9" s="47">
        <v>98</v>
      </c>
      <c r="EL9" s="47">
        <v>32</v>
      </c>
      <c r="EM9" s="47">
        <v>260</v>
      </c>
      <c r="EN9" s="47">
        <v>170</v>
      </c>
      <c r="EO9" s="47">
        <v>13</v>
      </c>
      <c r="EP9" s="47">
        <v>19</v>
      </c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</row>
    <row r="10" spans="1:160" s="50" customFormat="1" x14ac:dyDescent="0.25">
      <c r="A10" s="15">
        <v>8</v>
      </c>
      <c r="B10" s="34" t="s">
        <v>161</v>
      </c>
      <c r="C10" s="48" t="s">
        <v>530</v>
      </c>
      <c r="D10" s="44">
        <v>26904</v>
      </c>
      <c r="E10" s="45">
        <v>38.9</v>
      </c>
      <c r="F10" s="43" t="s">
        <v>80</v>
      </c>
      <c r="G10" s="46">
        <v>41112</v>
      </c>
      <c r="H10" s="47">
        <v>1</v>
      </c>
      <c r="I10" s="48" t="s">
        <v>529</v>
      </c>
      <c r="J10" s="47">
        <v>0</v>
      </c>
      <c r="K10" s="47"/>
      <c r="L10" s="47">
        <v>350</v>
      </c>
      <c r="M10" s="47">
        <v>0</v>
      </c>
      <c r="N10" s="46">
        <v>41118</v>
      </c>
      <c r="O10" s="49">
        <v>10</v>
      </c>
      <c r="P10" s="46">
        <v>41129</v>
      </c>
      <c r="Q10" s="49">
        <v>0</v>
      </c>
      <c r="R10" s="47">
        <v>1</v>
      </c>
      <c r="S10" s="46">
        <v>41121</v>
      </c>
      <c r="T10" s="47">
        <v>1</v>
      </c>
      <c r="U10" s="47">
        <v>0</v>
      </c>
      <c r="V10" s="47"/>
      <c r="W10" s="48"/>
      <c r="X10" s="48"/>
      <c r="Y10" s="47"/>
      <c r="Z10" s="46">
        <v>41122</v>
      </c>
      <c r="AA10" s="47">
        <v>0</v>
      </c>
      <c r="AB10" s="46">
        <v>41127</v>
      </c>
      <c r="AC10" s="47">
        <v>0</v>
      </c>
      <c r="AD10" s="46">
        <v>41124</v>
      </c>
      <c r="AE10" s="47">
        <v>0</v>
      </c>
      <c r="AF10" s="46">
        <v>41124</v>
      </c>
      <c r="AG10" s="47">
        <v>0</v>
      </c>
      <c r="AH10" s="46">
        <v>41124</v>
      </c>
      <c r="AI10" s="47">
        <v>0</v>
      </c>
      <c r="AJ10" s="47">
        <v>2</v>
      </c>
      <c r="AK10" s="47" t="s">
        <v>142</v>
      </c>
      <c r="AL10" s="47">
        <v>2</v>
      </c>
      <c r="AM10" s="47">
        <v>1</v>
      </c>
      <c r="AN10" s="47">
        <v>0</v>
      </c>
      <c r="AO10" s="47">
        <v>0</v>
      </c>
      <c r="AP10" s="47">
        <v>0</v>
      </c>
      <c r="AQ10" s="47">
        <v>0</v>
      </c>
      <c r="AR10" s="47">
        <v>2</v>
      </c>
      <c r="AS10" s="47">
        <v>1</v>
      </c>
      <c r="AT10" s="47">
        <v>10800</v>
      </c>
      <c r="AU10" s="47" t="s">
        <v>142</v>
      </c>
      <c r="AV10" s="47">
        <v>47</v>
      </c>
      <c r="AW10" s="47">
        <v>7</v>
      </c>
      <c r="AX10" s="47">
        <v>13.2</v>
      </c>
      <c r="AY10" s="47">
        <v>1.4</v>
      </c>
      <c r="AZ10" s="47">
        <v>201</v>
      </c>
      <c r="BA10" s="47">
        <v>295</v>
      </c>
      <c r="BB10" s="47">
        <v>263</v>
      </c>
      <c r="BC10" s="47">
        <v>23</v>
      </c>
      <c r="BD10" s="47">
        <v>79.5</v>
      </c>
      <c r="BE10" s="47">
        <v>6</v>
      </c>
      <c r="BF10" s="47">
        <v>61.699999999999996</v>
      </c>
      <c r="BG10" s="56">
        <v>12</v>
      </c>
      <c r="BH10" s="59">
        <f>3.78*LN(BA10/10)+11.2*LN(AY10)+9.57*LN(BE10/10)+6.43</f>
        <v>18.102883026164079</v>
      </c>
      <c r="BI10" s="57">
        <v>18.102883026164079</v>
      </c>
      <c r="BJ10" s="47">
        <v>7.56</v>
      </c>
      <c r="BK10" s="47"/>
      <c r="BL10" s="47"/>
      <c r="BM10" s="47"/>
      <c r="BN10" s="47">
        <v>9600</v>
      </c>
      <c r="BO10" s="47">
        <v>8400</v>
      </c>
      <c r="BP10" s="47">
        <v>43</v>
      </c>
      <c r="BQ10" s="47">
        <v>8.3000000000000007</v>
      </c>
      <c r="BR10" s="47">
        <v>13.2</v>
      </c>
      <c r="BS10" s="47">
        <v>1.9</v>
      </c>
      <c r="BT10" s="47">
        <v>128</v>
      </c>
      <c r="BU10" s="47">
        <v>396</v>
      </c>
      <c r="BV10" s="47">
        <v>351</v>
      </c>
      <c r="BW10" s="47">
        <v>34</v>
      </c>
      <c r="BX10" s="47">
        <v>80</v>
      </c>
      <c r="BY10" s="47">
        <v>6</v>
      </c>
      <c r="BZ10" s="56">
        <v>77.78</v>
      </c>
      <c r="CA10" s="59">
        <f t="shared" si="1"/>
        <v>22.636136372714731</v>
      </c>
      <c r="CB10" s="57">
        <f t="shared" si="2"/>
        <v>8.7579999999999991</v>
      </c>
      <c r="CC10" s="47" t="s">
        <v>142</v>
      </c>
      <c r="CD10" s="47" t="s">
        <v>142</v>
      </c>
      <c r="CE10" s="47" t="s">
        <v>142</v>
      </c>
      <c r="CF10" s="47">
        <v>9690</v>
      </c>
      <c r="CG10" s="47">
        <v>8000</v>
      </c>
      <c r="CH10" s="47">
        <v>26</v>
      </c>
      <c r="CI10" s="47">
        <v>15.9</v>
      </c>
      <c r="CJ10" s="47">
        <v>11</v>
      </c>
      <c r="CK10" s="47">
        <v>2.5</v>
      </c>
      <c r="CL10" s="47">
        <v>127</v>
      </c>
      <c r="CM10" s="47" t="s">
        <v>142</v>
      </c>
      <c r="CN10" s="47">
        <v>474</v>
      </c>
      <c r="CO10" s="47">
        <v>29</v>
      </c>
      <c r="CP10" s="47">
        <v>39</v>
      </c>
      <c r="CQ10" s="47">
        <v>120.53999999999999</v>
      </c>
      <c r="CR10" s="47">
        <v>20460</v>
      </c>
      <c r="CS10" s="47" t="s">
        <v>142</v>
      </c>
      <c r="CT10" s="47">
        <v>23</v>
      </c>
      <c r="CU10" s="47">
        <v>19.5</v>
      </c>
      <c r="CV10" s="47">
        <v>11</v>
      </c>
      <c r="CW10" s="47">
        <v>2.7</v>
      </c>
      <c r="CX10" s="47">
        <v>115</v>
      </c>
      <c r="CY10" s="47" t="s">
        <v>142</v>
      </c>
      <c r="CZ10" s="47">
        <v>542</v>
      </c>
      <c r="DA10" s="47">
        <v>-146</v>
      </c>
      <c r="DB10" s="47">
        <v>0</v>
      </c>
      <c r="DC10" s="47">
        <v>24</v>
      </c>
      <c r="DD10" s="47">
        <v>45</v>
      </c>
      <c r="DE10" s="47" t="s">
        <v>142</v>
      </c>
      <c r="DF10" s="47" t="s">
        <v>142</v>
      </c>
      <c r="DG10" s="47" t="s">
        <v>142</v>
      </c>
      <c r="DH10" s="47">
        <v>0.98809005409396178</v>
      </c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</row>
    <row r="11" spans="1:160" s="50" customFormat="1" x14ac:dyDescent="0.25">
      <c r="A11" s="15">
        <v>9</v>
      </c>
      <c r="B11" s="34" t="s">
        <v>163</v>
      </c>
      <c r="C11" s="53"/>
      <c r="D11" s="51"/>
      <c r="E11" s="51"/>
      <c r="F11" s="51"/>
      <c r="G11" s="52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6">
        <v>12</v>
      </c>
      <c r="BH11" s="59"/>
      <c r="BI11" s="57"/>
      <c r="BJ11" s="47"/>
      <c r="BK11" s="51"/>
      <c r="BL11" s="51"/>
      <c r="BM11" s="51"/>
      <c r="BN11" s="51"/>
      <c r="BO11" s="51"/>
      <c r="BP11" s="51"/>
      <c r="BQ11" s="51"/>
      <c r="BR11" s="51"/>
      <c r="BS11" s="47">
        <v>1.5</v>
      </c>
      <c r="BT11" s="47">
        <v>104</v>
      </c>
      <c r="BU11" s="47">
        <v>120</v>
      </c>
      <c r="BV11" s="47"/>
      <c r="BW11" s="47" t="s">
        <v>719</v>
      </c>
      <c r="BX11" s="51"/>
      <c r="BY11" s="51"/>
      <c r="BZ11" s="62"/>
      <c r="CA11" s="59"/>
      <c r="CB11" s="57">
        <f t="shared" si="2"/>
        <v>2.16</v>
      </c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51"/>
      <c r="DS11" s="51"/>
      <c r="DT11" s="51"/>
      <c r="DU11" s="51"/>
      <c r="DV11" s="51"/>
      <c r="DW11" s="51"/>
      <c r="DX11" s="51"/>
      <c r="DY11" s="51"/>
      <c r="DZ11" s="51"/>
      <c r="EA11" s="51"/>
      <c r="EB11" s="51"/>
      <c r="EC11" s="51"/>
      <c r="ED11" s="51"/>
      <c r="EE11" s="51"/>
      <c r="EF11" s="51"/>
      <c r="EG11" s="51"/>
      <c r="EH11" s="51"/>
      <c r="EI11" s="51"/>
      <c r="EJ11" s="51"/>
      <c r="EK11" s="51"/>
      <c r="EL11" s="51"/>
      <c r="EM11" s="51"/>
      <c r="EN11" s="51"/>
      <c r="EO11" s="51"/>
      <c r="EP11" s="51"/>
      <c r="EQ11" s="51"/>
      <c r="ER11" s="51"/>
      <c r="ES11" s="51"/>
      <c r="ET11" s="51"/>
      <c r="EU11" s="51"/>
      <c r="EV11" s="51"/>
      <c r="EW11" s="51"/>
      <c r="EX11" s="51"/>
      <c r="EY11" s="51"/>
      <c r="EZ11" s="51"/>
      <c r="FA11" s="51"/>
      <c r="FB11" s="51"/>
      <c r="FC11" s="51"/>
      <c r="FD11" s="51"/>
    </row>
    <row r="12" spans="1:160" s="50" customFormat="1" x14ac:dyDescent="0.25">
      <c r="A12" s="15">
        <v>10</v>
      </c>
      <c r="B12" s="34" t="s">
        <v>164</v>
      </c>
      <c r="C12" s="48" t="s">
        <v>528</v>
      </c>
      <c r="D12" s="44">
        <v>17776</v>
      </c>
      <c r="E12" s="45">
        <v>64.988888888888894</v>
      </c>
      <c r="F12" s="43" t="s">
        <v>85</v>
      </c>
      <c r="G12" s="46">
        <v>41512</v>
      </c>
      <c r="H12" s="47">
        <v>1</v>
      </c>
      <c r="I12" s="48" t="s">
        <v>527</v>
      </c>
      <c r="J12" s="47">
        <v>0</v>
      </c>
      <c r="K12" s="47">
        <v>21.6</v>
      </c>
      <c r="L12" s="47">
        <v>170</v>
      </c>
      <c r="M12" s="47">
        <v>40</v>
      </c>
      <c r="N12" s="46">
        <v>41522</v>
      </c>
      <c r="O12" s="49">
        <v>55</v>
      </c>
      <c r="P12" s="46">
        <v>41577</v>
      </c>
      <c r="Q12" s="49" t="s">
        <v>526</v>
      </c>
      <c r="R12" s="47">
        <v>0</v>
      </c>
      <c r="S12" s="47"/>
      <c r="T12" s="47"/>
      <c r="U12" s="47">
        <v>1</v>
      </c>
      <c r="V12" s="46">
        <v>41567</v>
      </c>
      <c r="W12" s="47" t="s">
        <v>165</v>
      </c>
      <c r="X12" s="47" t="s">
        <v>525</v>
      </c>
      <c r="Y12" s="47" t="s">
        <v>524</v>
      </c>
      <c r="Z12" s="46">
        <v>41534</v>
      </c>
      <c r="AA12" s="47" t="s">
        <v>523</v>
      </c>
      <c r="AB12" s="46">
        <v>41537</v>
      </c>
      <c r="AC12" s="47" t="s">
        <v>523</v>
      </c>
      <c r="AD12" s="46">
        <v>41564</v>
      </c>
      <c r="AE12" s="47" t="s">
        <v>522</v>
      </c>
      <c r="AF12" s="47" t="s">
        <v>521</v>
      </c>
      <c r="AG12" s="47" t="s">
        <v>142</v>
      </c>
      <c r="AH12" s="46">
        <v>41535</v>
      </c>
      <c r="AI12" s="47" t="s">
        <v>520</v>
      </c>
      <c r="AJ12" s="47">
        <v>2</v>
      </c>
      <c r="AK12" s="47" t="s">
        <v>142</v>
      </c>
      <c r="AL12" s="47">
        <v>1</v>
      </c>
      <c r="AM12" s="47">
        <v>1</v>
      </c>
      <c r="AN12" s="47">
        <v>0</v>
      </c>
      <c r="AO12" s="47">
        <v>0</v>
      </c>
      <c r="AP12" s="47">
        <v>0</v>
      </c>
      <c r="AQ12" s="47">
        <v>0</v>
      </c>
      <c r="AR12" s="47">
        <v>1</v>
      </c>
      <c r="AS12" s="47">
        <v>1</v>
      </c>
      <c r="AT12" s="47">
        <v>7300</v>
      </c>
      <c r="AU12" s="47">
        <v>4234</v>
      </c>
      <c r="AV12" s="47">
        <v>51</v>
      </c>
      <c r="AW12" s="47">
        <v>4.3</v>
      </c>
      <c r="AX12" s="47">
        <v>8.6</v>
      </c>
      <c r="AY12" s="47">
        <v>1.5</v>
      </c>
      <c r="AZ12" s="47">
        <v>104</v>
      </c>
      <c r="BA12" s="47">
        <v>120</v>
      </c>
      <c r="BB12" s="47">
        <v>93</v>
      </c>
      <c r="BC12" s="47">
        <v>26.4</v>
      </c>
      <c r="BD12" s="47" t="s">
        <v>142</v>
      </c>
      <c r="BE12" s="47">
        <v>6</v>
      </c>
      <c r="BF12" s="47">
        <v>31.779999999999998</v>
      </c>
      <c r="BG12" s="56">
        <v>11</v>
      </c>
      <c r="BH12" s="59">
        <f t="shared" si="0"/>
        <v>15.47555512756955</v>
      </c>
      <c r="BI12" s="57">
        <v>15.47555512756955</v>
      </c>
      <c r="BJ12" s="47">
        <v>8.84</v>
      </c>
      <c r="BK12" s="47" t="s">
        <v>142</v>
      </c>
      <c r="BL12" s="47" t="s">
        <v>142</v>
      </c>
      <c r="BM12" s="47" t="s">
        <v>142</v>
      </c>
      <c r="BN12" s="47">
        <v>9700</v>
      </c>
      <c r="BO12" s="47">
        <v>6693</v>
      </c>
      <c r="BP12" s="47">
        <v>35</v>
      </c>
      <c r="BQ12" s="47">
        <v>9.9</v>
      </c>
      <c r="BR12" s="47">
        <v>8.6</v>
      </c>
      <c r="BS12" s="47">
        <v>2.0499999999999998</v>
      </c>
      <c r="BT12" s="47">
        <v>97</v>
      </c>
      <c r="BU12" s="47">
        <v>195</v>
      </c>
      <c r="BV12" s="47">
        <v>163</v>
      </c>
      <c r="BW12" s="47">
        <v>27</v>
      </c>
      <c r="BX12" s="47">
        <v>20</v>
      </c>
      <c r="BY12" s="47">
        <v>6</v>
      </c>
      <c r="BZ12" s="56">
        <v>65.039999999999992</v>
      </c>
      <c r="CA12" s="59">
        <f t="shared" si="1"/>
        <v>20.809371143696485</v>
      </c>
      <c r="CB12" s="57">
        <f t="shared" si="2"/>
        <v>9.8788888888888895</v>
      </c>
      <c r="CC12" s="47" t="s">
        <v>142</v>
      </c>
      <c r="CD12" s="47" t="s">
        <v>142</v>
      </c>
      <c r="CE12" s="47" t="s">
        <v>142</v>
      </c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>
        <v>11700</v>
      </c>
      <c r="CS12" s="47">
        <v>9126</v>
      </c>
      <c r="CT12" s="47">
        <v>30</v>
      </c>
      <c r="CU12" s="47">
        <v>12.1</v>
      </c>
      <c r="CV12" s="47">
        <v>8.6</v>
      </c>
      <c r="CW12" s="47">
        <v>2.2799999999999998</v>
      </c>
      <c r="CX12" s="47">
        <v>131</v>
      </c>
      <c r="CY12" s="47">
        <v>23.9</v>
      </c>
      <c r="CZ12" s="47">
        <v>222</v>
      </c>
      <c r="DA12" s="47">
        <v>-27</v>
      </c>
      <c r="DB12" s="47">
        <v>0</v>
      </c>
      <c r="DC12" s="47">
        <v>20</v>
      </c>
      <c r="DD12" s="47">
        <v>7</v>
      </c>
      <c r="DE12" s="47" t="s">
        <v>142</v>
      </c>
      <c r="DF12" s="47" t="s">
        <v>142</v>
      </c>
      <c r="DG12" s="47" t="s">
        <v>142</v>
      </c>
      <c r="DH12" s="47">
        <v>0.92376082677768212</v>
      </c>
      <c r="DI12" s="47">
        <v>10140</v>
      </c>
      <c r="DJ12" s="47">
        <v>7600</v>
      </c>
      <c r="DK12" s="47">
        <v>34</v>
      </c>
      <c r="DL12" s="47">
        <v>10.5</v>
      </c>
      <c r="DM12" s="47">
        <v>11.2</v>
      </c>
      <c r="DN12" s="47">
        <v>2</v>
      </c>
      <c r="DO12" s="47">
        <v>96</v>
      </c>
      <c r="DP12" s="47">
        <v>21</v>
      </c>
      <c r="DQ12" s="47">
        <v>237</v>
      </c>
      <c r="DR12" s="47">
        <v>26</v>
      </c>
      <c r="DS12" s="47">
        <v>11</v>
      </c>
      <c r="DT12" s="47">
        <v>10180</v>
      </c>
      <c r="DU12" s="47">
        <v>7500</v>
      </c>
      <c r="DV12" s="47">
        <v>38</v>
      </c>
      <c r="DW12" s="47">
        <v>10.5</v>
      </c>
      <c r="DX12" s="47">
        <v>9.8000000000000007</v>
      </c>
      <c r="DY12" s="47">
        <v>1.9</v>
      </c>
      <c r="DZ12" s="47">
        <v>96</v>
      </c>
      <c r="EA12" s="47">
        <v>30</v>
      </c>
      <c r="EB12" s="47">
        <v>304</v>
      </c>
      <c r="EC12" s="47">
        <v>23</v>
      </c>
      <c r="ED12" s="47">
        <v>10</v>
      </c>
      <c r="EE12" s="47">
        <v>8440</v>
      </c>
      <c r="EF12" s="47" t="s">
        <v>142</v>
      </c>
      <c r="EG12" s="47">
        <v>31</v>
      </c>
      <c r="EH12" s="47">
        <v>13.5</v>
      </c>
      <c r="EI12" s="47">
        <v>10.5</v>
      </c>
      <c r="EJ12" s="47">
        <v>2.2000000000000002</v>
      </c>
      <c r="EK12" s="47">
        <v>70</v>
      </c>
      <c r="EL12" s="47">
        <v>30</v>
      </c>
      <c r="EM12" s="47">
        <v>264</v>
      </c>
      <c r="EN12" s="47">
        <v>191</v>
      </c>
      <c r="EO12" s="47">
        <v>22</v>
      </c>
      <c r="EP12" s="47">
        <v>8</v>
      </c>
      <c r="EQ12" s="47">
        <v>1</v>
      </c>
      <c r="ER12" s="47">
        <v>1</v>
      </c>
      <c r="ES12" s="47">
        <v>6920</v>
      </c>
      <c r="ET12" s="47">
        <v>4100</v>
      </c>
      <c r="EU12" s="47">
        <v>34</v>
      </c>
      <c r="EV12" s="47">
        <v>12.1</v>
      </c>
      <c r="EW12" s="47">
        <v>10.5</v>
      </c>
      <c r="EX12" s="47">
        <v>2.1</v>
      </c>
      <c r="EY12" s="47">
        <v>90</v>
      </c>
      <c r="EZ12" s="47">
        <v>262</v>
      </c>
      <c r="FA12" s="47">
        <v>41</v>
      </c>
      <c r="FB12" s="47">
        <v>11</v>
      </c>
      <c r="FC12" s="47">
        <v>5</v>
      </c>
      <c r="FD12" s="47">
        <v>0</v>
      </c>
    </row>
    <row r="13" spans="1:160" s="50" customFormat="1" x14ac:dyDescent="0.25">
      <c r="A13" s="36">
        <v>11</v>
      </c>
      <c r="B13" s="34" t="s">
        <v>167</v>
      </c>
      <c r="C13" s="53"/>
      <c r="D13" s="51"/>
      <c r="E13" s="51"/>
      <c r="F13" s="51"/>
      <c r="G13" s="52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6">
        <v>14</v>
      </c>
      <c r="BH13" s="59"/>
      <c r="BI13" s="57"/>
      <c r="BJ13" s="47"/>
      <c r="BK13" s="51"/>
      <c r="BL13" s="51"/>
      <c r="BM13" s="51"/>
      <c r="BN13" s="51"/>
      <c r="BO13" s="51"/>
      <c r="BP13" s="51"/>
      <c r="BQ13" s="51"/>
      <c r="BR13" s="51"/>
      <c r="BS13" s="47">
        <v>1.9</v>
      </c>
      <c r="BT13" s="47">
        <v>111</v>
      </c>
      <c r="BU13" s="47">
        <v>164</v>
      </c>
      <c r="BV13" s="47"/>
      <c r="BW13" s="47">
        <v>23</v>
      </c>
      <c r="BX13" s="51"/>
      <c r="BY13" s="51"/>
      <c r="BZ13" s="62"/>
      <c r="CA13" s="59"/>
      <c r="CB13" s="57">
        <f t="shared" si="2"/>
        <v>2.8319999999999999</v>
      </c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51"/>
      <c r="EG13" s="51"/>
      <c r="EH13" s="51"/>
      <c r="EI13" s="51"/>
      <c r="EJ13" s="51"/>
      <c r="EK13" s="51"/>
      <c r="EL13" s="51"/>
      <c r="EM13" s="51"/>
      <c r="EN13" s="51"/>
      <c r="EO13" s="51"/>
      <c r="EP13" s="51"/>
      <c r="EQ13" s="51"/>
      <c r="ER13" s="51"/>
      <c r="ES13" s="51"/>
      <c r="ET13" s="51"/>
      <c r="EU13" s="51"/>
      <c r="EV13" s="51"/>
      <c r="EW13" s="51"/>
      <c r="EX13" s="51"/>
      <c r="EY13" s="51"/>
      <c r="EZ13" s="51"/>
      <c r="FA13" s="51"/>
      <c r="FB13" s="51"/>
      <c r="FC13" s="51"/>
      <c r="FD13" s="51"/>
    </row>
    <row r="14" spans="1:160" x14ac:dyDescent="0.25">
      <c r="BJ14" s="3" t="s">
        <v>721</v>
      </c>
    </row>
    <row r="16" spans="1:160" x14ac:dyDescent="0.25">
      <c r="F16" t="str">
        <f>E2</f>
        <v>Age</v>
      </c>
      <c r="G16" t="str">
        <f t="shared" ref="G16:BR16" si="3">F2</f>
        <v>Sex</v>
      </c>
      <c r="H16" t="str">
        <f t="shared" si="3"/>
        <v>Date of hospitalization</v>
      </c>
      <c r="I16" t="str">
        <f t="shared" si="3"/>
        <v>Comorbidities</v>
      </c>
      <c r="J16" t="str">
        <f t="shared" si="3"/>
        <v>Comments</v>
      </c>
      <c r="K16" t="str">
        <f t="shared" si="3"/>
        <v>Hypertension</v>
      </c>
      <c r="L16" t="str">
        <f t="shared" si="3"/>
        <v>BMI</v>
      </c>
      <c r="M16" t="str">
        <f t="shared" si="3"/>
        <v>Alcohol g/day</v>
      </c>
      <c r="N16" t="str">
        <f t="shared" si="3"/>
        <v>Prednisolone dose</v>
      </c>
      <c r="O16" t="str">
        <f t="shared" si="3"/>
        <v>AH day 0</v>
      </c>
      <c r="P16" t="str">
        <f t="shared" si="3"/>
        <v>Survival</v>
      </c>
      <c r="Q16" t="str">
        <f t="shared" si="3"/>
        <v>Transplant</v>
      </c>
      <c r="R16" t="str">
        <f t="shared" si="3"/>
        <v>Hemorragic event</v>
      </c>
      <c r="S16" t="str">
        <f t="shared" si="3"/>
        <v>HRS</v>
      </c>
      <c r="T16" t="str">
        <f t="shared" si="3"/>
        <v>Date HRS</v>
      </c>
      <c r="U16" t="str">
        <f t="shared" si="3"/>
        <v>Terlipressin</v>
      </c>
      <c r="V16" t="str">
        <f t="shared" si="3"/>
        <v>Infection</v>
      </c>
      <c r="W16" t="str">
        <f t="shared" si="3"/>
        <v>Date infection</v>
      </c>
      <c r="X16" t="str">
        <f t="shared" si="3"/>
        <v>Type</v>
      </c>
      <c r="Y16" t="str">
        <f t="shared" si="3"/>
        <v>germ</v>
      </c>
      <c r="Z16" t="str">
        <f t="shared" si="3"/>
        <v>antibiotic</v>
      </c>
      <c r="AA16" t="str">
        <f t="shared" si="3"/>
        <v>Admission Blood culture</v>
      </c>
      <c r="AB16" t="str">
        <f t="shared" si="3"/>
        <v>Germ</v>
      </c>
      <c r="AC16" t="str">
        <f t="shared" si="3"/>
        <v>Hospitalized Blood Culture</v>
      </c>
      <c r="AD16" t="str">
        <f t="shared" si="3"/>
        <v>Germ</v>
      </c>
      <c r="AE16" t="str">
        <f t="shared" si="3"/>
        <v>Urine culture</v>
      </c>
      <c r="AF16" t="str">
        <f t="shared" si="3"/>
        <v>Germ</v>
      </c>
      <c r="AG16" t="str">
        <f t="shared" si="3"/>
        <v>Ascites paracentesis</v>
      </c>
      <c r="AH16" t="str">
        <f t="shared" si="3"/>
        <v>Germ</v>
      </c>
      <c r="AI16" t="str">
        <f t="shared" si="3"/>
        <v>Chest Xray</v>
      </c>
      <c r="AJ16" t="str">
        <f t="shared" si="3"/>
        <v>Result</v>
      </c>
      <c r="AK16" t="str">
        <f t="shared" si="3"/>
        <v>Liver Biopsy</v>
      </c>
      <c r="AL16" t="str">
        <f t="shared" si="3"/>
        <v>HPVG</v>
      </c>
      <c r="AM16" t="str">
        <f t="shared" si="3"/>
        <v>Pathology</v>
      </c>
      <c r="AN16" t="str">
        <f t="shared" si="3"/>
        <v>PathCirrhosis</v>
      </c>
      <c r="AO16" t="str">
        <f t="shared" si="3"/>
        <v>HCC</v>
      </c>
      <c r="AP16" t="str">
        <f t="shared" si="3"/>
        <v>HIV</v>
      </c>
      <c r="AQ16" t="str">
        <f t="shared" si="3"/>
        <v>HBV</v>
      </c>
      <c r="AR16" t="str">
        <f t="shared" si="3"/>
        <v>HCV</v>
      </c>
      <c r="AS16" t="str">
        <f t="shared" si="3"/>
        <v>ClinAscites</v>
      </c>
      <c r="AT16" t="str">
        <f t="shared" si="3"/>
        <v>Encephal</v>
      </c>
      <c r="AU16" t="str">
        <f t="shared" si="3"/>
        <v>Leukocytes admis</v>
      </c>
      <c r="AV16" t="str">
        <f t="shared" si="3"/>
        <v>Neutro admis</v>
      </c>
      <c r="AW16" t="str">
        <f t="shared" si="3"/>
        <v>PT%admi</v>
      </c>
      <c r="AX16" t="str">
        <f t="shared" si="3"/>
        <v>DiffQT p-c</v>
      </c>
      <c r="AY16" t="str">
        <f t="shared" si="3"/>
        <v>Ptseccontrol</v>
      </c>
      <c r="AZ16" t="str">
        <f t="shared" si="3"/>
        <v>INRadmi</v>
      </c>
      <c r="BA16" t="str">
        <f t="shared" si="3"/>
        <v>ASTadm</v>
      </c>
      <c r="BB16" t="str">
        <f t="shared" si="3"/>
        <v>Bili mg/l admi</v>
      </c>
      <c r="BC16" t="str">
        <f t="shared" si="3"/>
        <v>Bilidirecte mg/l</v>
      </c>
      <c r="BD16" t="str">
        <f t="shared" si="3"/>
        <v>Alb mg/l adm</v>
      </c>
      <c r="BE16" t="str">
        <f t="shared" si="3"/>
        <v>CRP mg/l admi</v>
      </c>
      <c r="BF16" t="str">
        <f t="shared" si="3"/>
        <v>creat mg/l admi</v>
      </c>
      <c r="BG16" t="str">
        <f t="shared" si="3"/>
        <v>Maddrey Adm</v>
      </c>
      <c r="BH16" s="3" t="str">
        <f t="shared" si="3"/>
        <v>Child_points</v>
      </c>
      <c r="BI16" t="str">
        <f t="shared" si="3"/>
        <v>MELD</v>
      </c>
      <c r="BJ16" t="str">
        <f t="shared" si="3"/>
        <v>MELD</v>
      </c>
      <c r="BK16" t="str">
        <f t="shared" si="3"/>
        <v>ABIC</v>
      </c>
      <c r="BL16" t="str">
        <f t="shared" si="3"/>
        <v>Norepin Admi</v>
      </c>
      <c r="BM16" t="str">
        <f t="shared" si="3"/>
        <v>PRA Admi</v>
      </c>
      <c r="BN16" t="str">
        <f t="shared" si="3"/>
        <v>Aldost admi</v>
      </c>
      <c r="BO16" s="3" t="str">
        <f t="shared" si="3"/>
        <v>LeuKocytesDay0</v>
      </c>
      <c r="BP16" t="str">
        <f t="shared" si="3"/>
        <v>NeutroDay0</v>
      </c>
      <c r="BQ16" t="str">
        <f t="shared" si="3"/>
        <v>PT%Day0</v>
      </c>
      <c r="BR16" t="str">
        <f t="shared" si="3"/>
        <v>DiffTQ p-c</v>
      </c>
      <c r="BS16" t="str">
        <f t="shared" ref="BS16:ED16" si="4">BR2</f>
        <v>Ptcontrol</v>
      </c>
      <c r="BT16" s="3" t="str">
        <f t="shared" si="4"/>
        <v>INRDay0</v>
      </c>
      <c r="BU16" s="3" t="str">
        <f t="shared" si="4"/>
        <v>ASTDay0</v>
      </c>
      <c r="BV16" s="3" t="str">
        <f t="shared" si="4"/>
        <v>Bili mg/l Day0</v>
      </c>
      <c r="BW16" t="str">
        <f t="shared" si="4"/>
        <v>Bilidirecte mg/l Day0</v>
      </c>
      <c r="BX16" t="str">
        <f t="shared" si="4"/>
        <v>AlbDay0</v>
      </c>
      <c r="BY16" t="str">
        <f t="shared" si="4"/>
        <v>CRPmg/lDay0</v>
      </c>
      <c r="BZ16" s="3" t="str">
        <f t="shared" si="4"/>
        <v>creatmg/lDay0</v>
      </c>
      <c r="CA16" t="str">
        <f t="shared" si="4"/>
        <v>MaddreyDay0</v>
      </c>
      <c r="CB16" s="3" t="str">
        <f t="shared" si="4"/>
        <v>MELD_day0</v>
      </c>
      <c r="CC16" s="3" t="str">
        <f t="shared" si="4"/>
        <v>ABIC_day0</v>
      </c>
      <c r="CD16" t="str">
        <f t="shared" si="4"/>
        <v>NorepiDay0</v>
      </c>
      <c r="CE16" t="str">
        <f t="shared" si="4"/>
        <v>PRADay0</v>
      </c>
      <c r="CF16" t="str">
        <f t="shared" si="4"/>
        <v>AldostDay0</v>
      </c>
      <c r="CG16" t="str">
        <f t="shared" si="4"/>
        <v>LeucocytesDay3</v>
      </c>
      <c r="CH16" t="str">
        <f t="shared" si="4"/>
        <v>NeutroDay3</v>
      </c>
      <c r="CI16" t="str">
        <f t="shared" si="4"/>
        <v>PT% Day3</v>
      </c>
      <c r="CJ16" t="str">
        <f t="shared" si="4"/>
        <v>DiffQT p-c</v>
      </c>
      <c r="CK16" t="str">
        <f t="shared" si="4"/>
        <v>PT control</v>
      </c>
      <c r="CL16" t="str">
        <f t="shared" si="4"/>
        <v>INRDay3</v>
      </c>
      <c r="CM16" t="str">
        <f t="shared" si="4"/>
        <v>ASTDay3</v>
      </c>
      <c r="CN16" t="str">
        <f t="shared" si="4"/>
        <v>Alb Day3</v>
      </c>
      <c r="CO16" t="str">
        <f t="shared" si="4"/>
        <v>Bilimg/lDay3</v>
      </c>
      <c r="CP16" t="str">
        <f t="shared" si="4"/>
        <v>CRPmg/lDay3</v>
      </c>
      <c r="CQ16" t="str">
        <f t="shared" si="4"/>
        <v>creatmg/lDay3</v>
      </c>
      <c r="CR16" t="str">
        <f t="shared" si="4"/>
        <v>MaddreyDay3</v>
      </c>
      <c r="CS16" t="str">
        <f t="shared" si="4"/>
        <v>LeucocytesDay7</v>
      </c>
      <c r="CT16" t="str">
        <f t="shared" si="4"/>
        <v>NeutroDay7</v>
      </c>
      <c r="CU16" t="str">
        <f t="shared" si="4"/>
        <v>PT%Day7</v>
      </c>
      <c r="CV16" t="str">
        <f t="shared" si="4"/>
        <v>DiffTQ p-t</v>
      </c>
      <c r="CW16" t="str">
        <f t="shared" si="4"/>
        <v>PT control</v>
      </c>
      <c r="CX16" t="str">
        <f t="shared" si="4"/>
        <v>INRDay7</v>
      </c>
      <c r="CY16" t="str">
        <f t="shared" si="4"/>
        <v>ASATDay7</v>
      </c>
      <c r="CZ16" t="str">
        <f t="shared" si="4"/>
        <v>AlbmDay7</v>
      </c>
      <c r="DA16" t="str">
        <f t="shared" si="4"/>
        <v>Bilimg/lDay7</v>
      </c>
      <c r="DB16" t="str">
        <f t="shared" si="4"/>
        <v>DifBil Day0Day7</v>
      </c>
      <c r="DC16" t="str">
        <f t="shared" si="4"/>
        <v>Responder</v>
      </c>
      <c r="DD16" t="str">
        <f t="shared" si="4"/>
        <v>CRPmg/lDay7</v>
      </c>
      <c r="DE16" t="str">
        <f t="shared" si="4"/>
        <v>Creatmg/lDay7</v>
      </c>
      <c r="DF16" t="str">
        <f t="shared" si="4"/>
        <v>NoradréDay7</v>
      </c>
      <c r="DG16" t="str">
        <f t="shared" si="4"/>
        <v>PRADay7</v>
      </c>
      <c r="DH16" t="str">
        <f t="shared" si="4"/>
        <v>AldostDay7</v>
      </c>
      <c r="DI16" t="str">
        <f t="shared" si="4"/>
        <v>Lille Score</v>
      </c>
      <c r="DJ16" t="str">
        <f t="shared" si="4"/>
        <v>LeucocytesJ14</v>
      </c>
      <c r="DK16" t="str">
        <f t="shared" si="4"/>
        <v>NeutroJ14</v>
      </c>
      <c r="DL16" t="str">
        <f t="shared" si="4"/>
        <v>TP%J14</v>
      </c>
      <c r="DM16" t="str">
        <f t="shared" si="4"/>
        <v>Tptémoin</v>
      </c>
      <c r="DN16" t="str">
        <f t="shared" si="4"/>
        <v>DiffTQ p-t</v>
      </c>
      <c r="DO16" t="str">
        <f t="shared" si="4"/>
        <v>INRJ14</v>
      </c>
      <c r="DP16" t="str">
        <f t="shared" si="4"/>
        <v>ASATJ14</v>
      </c>
      <c r="DQ16" t="str">
        <f t="shared" si="4"/>
        <v>AlbmJ14</v>
      </c>
      <c r="DR16" t="str">
        <f t="shared" si="4"/>
        <v>Bilimg/lJ14</v>
      </c>
      <c r="DS16" t="str">
        <f t="shared" si="4"/>
        <v>CRPmg/lJ14</v>
      </c>
      <c r="DT16" t="str">
        <f t="shared" si="4"/>
        <v>Creatmg/lJ14</v>
      </c>
      <c r="DU16" t="str">
        <f t="shared" si="4"/>
        <v>LeucocytesJ21</v>
      </c>
      <c r="DV16" t="str">
        <f t="shared" si="4"/>
        <v>NeutroJ21</v>
      </c>
      <c r="DW16" t="str">
        <f t="shared" si="4"/>
        <v>TP%J21</v>
      </c>
      <c r="DX16" t="str">
        <f t="shared" si="4"/>
        <v>Tptémoin</v>
      </c>
      <c r="DY16" t="str">
        <f t="shared" si="4"/>
        <v>DiffTQ p-t</v>
      </c>
      <c r="DZ16" t="str">
        <f t="shared" si="4"/>
        <v>INRJ21</v>
      </c>
      <c r="EA16" t="str">
        <f t="shared" si="4"/>
        <v>ASATJ21</v>
      </c>
      <c r="EB16" t="str">
        <f t="shared" si="4"/>
        <v>AlbmJ21</v>
      </c>
      <c r="EC16" t="str">
        <f t="shared" si="4"/>
        <v>Bilimg/lJ21</v>
      </c>
      <c r="ED16" t="str">
        <f t="shared" si="4"/>
        <v>CRPmg/lJ21</v>
      </c>
      <c r="EE16" t="str">
        <f t="shared" ref="EE16:EQ16" si="5">ED2</f>
        <v>Creat mg/l J21</v>
      </c>
      <c r="EF16" t="str">
        <f t="shared" si="5"/>
        <v>Leucocytes J28</v>
      </c>
      <c r="EG16" t="str">
        <f t="shared" si="5"/>
        <v>Neutro J28</v>
      </c>
      <c r="EH16" t="str">
        <f t="shared" si="5"/>
        <v>TP%J28</v>
      </c>
      <c r="EI16" t="str">
        <f t="shared" si="5"/>
        <v>DiffTQ p-t</v>
      </c>
      <c r="EJ16" t="str">
        <f t="shared" si="5"/>
        <v>TPs temoin</v>
      </c>
      <c r="EK16" t="str">
        <f t="shared" si="5"/>
        <v>INR J28</v>
      </c>
      <c r="EL16" t="str">
        <f t="shared" si="5"/>
        <v>ASAT J28</v>
      </c>
      <c r="EM16" t="str">
        <f t="shared" si="5"/>
        <v>Albm J28</v>
      </c>
      <c r="EN16" t="str">
        <f t="shared" si="5"/>
        <v>Bili mg/l J28</v>
      </c>
      <c r="EO16" t="str">
        <f t="shared" si="5"/>
        <v>Bili directe mg/l J28</v>
      </c>
      <c r="EP16" t="str">
        <f t="shared" si="5"/>
        <v>CRP mg/l J28</v>
      </c>
      <c r="EQ16" t="str">
        <f t="shared" si="5"/>
        <v>Creat mg/l J28</v>
      </c>
    </row>
    <row r="17" spans="2:147" s="63" customFormat="1" x14ac:dyDescent="0.25">
      <c r="E17" s="63" t="s">
        <v>741</v>
      </c>
      <c r="F17" s="63">
        <f t="shared" ref="F17" si="6">MEDIAN(E3:E13)</f>
        <v>45.924999999999997</v>
      </c>
      <c r="G17" s="63" t="e">
        <f t="shared" ref="G17:BR17" si="7">MEDIAN(F3:F13)</f>
        <v>#NUM!</v>
      </c>
      <c r="H17" s="63">
        <f t="shared" si="7"/>
        <v>40678</v>
      </c>
      <c r="I17" s="63">
        <f t="shared" si="7"/>
        <v>1</v>
      </c>
      <c r="J17" s="63" t="e">
        <f t="shared" si="7"/>
        <v>#NUM!</v>
      </c>
      <c r="K17" s="63">
        <f t="shared" si="7"/>
        <v>0</v>
      </c>
      <c r="L17" s="63">
        <f t="shared" si="7"/>
        <v>29.3</v>
      </c>
      <c r="M17" s="63">
        <f t="shared" si="7"/>
        <v>100</v>
      </c>
      <c r="N17" s="63">
        <f t="shared" si="7"/>
        <v>40</v>
      </c>
      <c r="O17" s="63">
        <f t="shared" si="7"/>
        <v>40683</v>
      </c>
      <c r="P17" s="63">
        <f t="shared" si="7"/>
        <v>29</v>
      </c>
      <c r="Q17" s="63">
        <f t="shared" si="7"/>
        <v>40710</v>
      </c>
      <c r="R17" s="63">
        <f t="shared" si="7"/>
        <v>0</v>
      </c>
      <c r="S17" s="63">
        <f t="shared" si="7"/>
        <v>0</v>
      </c>
      <c r="T17" s="63">
        <f t="shared" si="7"/>
        <v>40476.5</v>
      </c>
      <c r="U17" s="63">
        <f t="shared" si="7"/>
        <v>1</v>
      </c>
      <c r="V17" s="63">
        <f t="shared" si="7"/>
        <v>1</v>
      </c>
      <c r="W17" s="63">
        <f t="shared" si="7"/>
        <v>39967</v>
      </c>
      <c r="X17" s="63" t="e">
        <f t="shared" si="7"/>
        <v>#NUM!</v>
      </c>
      <c r="Y17" s="63" t="e">
        <f t="shared" si="7"/>
        <v>#NUM!</v>
      </c>
      <c r="Z17" s="63" t="e">
        <f t="shared" si="7"/>
        <v>#NUM!</v>
      </c>
      <c r="AA17" s="63">
        <f t="shared" si="7"/>
        <v>40824</v>
      </c>
      <c r="AB17" s="63">
        <f t="shared" si="7"/>
        <v>0</v>
      </c>
      <c r="AC17" s="63">
        <f t="shared" si="7"/>
        <v>40835</v>
      </c>
      <c r="AD17" s="63">
        <f t="shared" si="7"/>
        <v>0</v>
      </c>
      <c r="AE17" s="63">
        <f t="shared" si="7"/>
        <v>40691</v>
      </c>
      <c r="AF17" s="63">
        <f t="shared" si="7"/>
        <v>0</v>
      </c>
      <c r="AG17" s="63">
        <f t="shared" si="7"/>
        <v>40301</v>
      </c>
      <c r="AH17" s="63">
        <f t="shared" si="7"/>
        <v>0</v>
      </c>
      <c r="AI17" s="63">
        <f t="shared" si="7"/>
        <v>40827.5</v>
      </c>
      <c r="AJ17" s="63">
        <f t="shared" si="7"/>
        <v>0</v>
      </c>
      <c r="AK17" s="63">
        <f t="shared" si="7"/>
        <v>2</v>
      </c>
      <c r="AL17" s="63">
        <f t="shared" si="7"/>
        <v>16</v>
      </c>
      <c r="AM17" s="63">
        <f t="shared" si="7"/>
        <v>2</v>
      </c>
      <c r="AN17" s="63">
        <f t="shared" si="7"/>
        <v>1</v>
      </c>
      <c r="AO17" s="63">
        <f t="shared" si="7"/>
        <v>0</v>
      </c>
      <c r="AP17" s="63">
        <f t="shared" si="7"/>
        <v>0</v>
      </c>
      <c r="AQ17" s="63">
        <f t="shared" si="7"/>
        <v>0</v>
      </c>
      <c r="AR17" s="63">
        <f t="shared" si="7"/>
        <v>0</v>
      </c>
      <c r="AS17" s="63">
        <f t="shared" si="7"/>
        <v>2</v>
      </c>
      <c r="AT17" s="63">
        <f t="shared" si="7"/>
        <v>1</v>
      </c>
      <c r="AU17" s="63">
        <f t="shared" si="7"/>
        <v>10800</v>
      </c>
      <c r="AV17" s="63">
        <f t="shared" si="7"/>
        <v>5345</v>
      </c>
      <c r="AW17" s="63">
        <f t="shared" si="7"/>
        <v>42</v>
      </c>
      <c r="AX17" s="63">
        <f t="shared" si="7"/>
        <v>7.4499999999999993</v>
      </c>
      <c r="AY17" s="63">
        <f t="shared" si="7"/>
        <v>11.55</v>
      </c>
      <c r="AZ17" s="63">
        <f t="shared" si="7"/>
        <v>1.89</v>
      </c>
      <c r="BA17" s="63">
        <f t="shared" si="7"/>
        <v>160</v>
      </c>
      <c r="BB17" s="63">
        <f t="shared" si="7"/>
        <v>127</v>
      </c>
      <c r="BC17" s="63">
        <f t="shared" si="7"/>
        <v>92</v>
      </c>
      <c r="BD17" s="63">
        <f t="shared" si="7"/>
        <v>23</v>
      </c>
      <c r="BE17" s="63">
        <f t="shared" si="7"/>
        <v>55</v>
      </c>
      <c r="BF17" s="63">
        <f t="shared" si="7"/>
        <v>6.7</v>
      </c>
      <c r="BG17" s="63">
        <f t="shared" si="7"/>
        <v>53.84</v>
      </c>
      <c r="BH17" s="64">
        <f t="shared" si="7"/>
        <v>12</v>
      </c>
      <c r="BI17" s="63">
        <f t="shared" si="7"/>
        <v>18.142242183011874</v>
      </c>
      <c r="BJ17" s="63">
        <f t="shared" si="7"/>
        <v>18.142242183011874</v>
      </c>
      <c r="BK17" s="63">
        <f t="shared" si="7"/>
        <v>8.7760000000000016</v>
      </c>
      <c r="BL17" s="63" t="e">
        <f t="shared" si="7"/>
        <v>#NUM!</v>
      </c>
      <c r="BM17" s="63" t="e">
        <f t="shared" si="7"/>
        <v>#NUM!</v>
      </c>
      <c r="BN17" s="63" t="e">
        <f t="shared" si="7"/>
        <v>#NUM!</v>
      </c>
      <c r="BO17" s="64">
        <f t="shared" si="7"/>
        <v>10200</v>
      </c>
      <c r="BP17" s="63">
        <f t="shared" si="7"/>
        <v>8711</v>
      </c>
      <c r="BQ17" s="63">
        <f t="shared" si="7"/>
        <v>33</v>
      </c>
      <c r="BR17" s="63">
        <f t="shared" si="7"/>
        <v>10.7</v>
      </c>
      <c r="BS17" s="63">
        <f t="shared" ref="BS17:ED17" si="8">MEDIAN(BR3:BR13)</f>
        <v>10.5</v>
      </c>
      <c r="BT17" s="64">
        <f t="shared" si="8"/>
        <v>2.0499999999999998</v>
      </c>
      <c r="BU17" s="64">
        <f t="shared" si="8"/>
        <v>118</v>
      </c>
      <c r="BV17" s="64">
        <f t="shared" si="8"/>
        <v>195</v>
      </c>
      <c r="BW17" s="63">
        <f t="shared" si="8"/>
        <v>174</v>
      </c>
      <c r="BX17" s="63">
        <f t="shared" si="8"/>
        <v>23</v>
      </c>
      <c r="BY17" s="63">
        <f t="shared" si="8"/>
        <v>31</v>
      </c>
      <c r="BZ17" s="64">
        <f t="shared" si="8"/>
        <v>7.7</v>
      </c>
      <c r="CA17" s="63">
        <f t="shared" si="8"/>
        <v>77.78</v>
      </c>
      <c r="CB17" s="64">
        <f t="shared" si="8"/>
        <v>26.116328321288492</v>
      </c>
      <c r="CC17" s="64">
        <f t="shared" si="8"/>
        <v>8.7685000000000013</v>
      </c>
      <c r="CD17" s="63" t="e">
        <f t="shared" si="8"/>
        <v>#NUM!</v>
      </c>
      <c r="CE17" s="63" t="e">
        <f t="shared" si="8"/>
        <v>#NUM!</v>
      </c>
      <c r="CF17" s="63" t="e">
        <f t="shared" si="8"/>
        <v>#NUM!</v>
      </c>
      <c r="CG17" s="63">
        <f t="shared" si="8"/>
        <v>11645</v>
      </c>
      <c r="CH17" s="63">
        <f t="shared" si="8"/>
        <v>8685</v>
      </c>
      <c r="CI17" s="63">
        <f t="shared" si="8"/>
        <v>21</v>
      </c>
      <c r="CJ17" s="63">
        <f t="shared" si="8"/>
        <v>16.3</v>
      </c>
      <c r="CK17" s="63">
        <f t="shared" si="8"/>
        <v>11.8</v>
      </c>
      <c r="CL17" s="63">
        <f t="shared" si="8"/>
        <v>2.7</v>
      </c>
      <c r="CM17" s="63">
        <f t="shared" si="8"/>
        <v>127.5</v>
      </c>
      <c r="CN17" s="63">
        <f t="shared" si="8"/>
        <v>23</v>
      </c>
      <c r="CO17" s="63">
        <f t="shared" si="8"/>
        <v>262.39999999999998</v>
      </c>
      <c r="CP17" s="63">
        <f t="shared" si="8"/>
        <v>20.9</v>
      </c>
      <c r="CQ17" s="63">
        <f t="shared" si="8"/>
        <v>12.05</v>
      </c>
      <c r="CR17" s="63">
        <f t="shared" si="8"/>
        <v>118.47999999999999</v>
      </c>
      <c r="CS17" s="63">
        <f t="shared" si="8"/>
        <v>13680</v>
      </c>
      <c r="CT17" s="63">
        <f t="shared" si="8"/>
        <v>9428</v>
      </c>
      <c r="CU17" s="63">
        <f t="shared" si="8"/>
        <v>30</v>
      </c>
      <c r="CV17" s="63">
        <f t="shared" si="8"/>
        <v>13.5</v>
      </c>
      <c r="CW17" s="63">
        <f t="shared" si="8"/>
        <v>10.5</v>
      </c>
      <c r="CX17" s="63">
        <f t="shared" si="8"/>
        <v>2.2999999999999998</v>
      </c>
      <c r="CY17" s="63">
        <f t="shared" si="8"/>
        <v>118</v>
      </c>
      <c r="CZ17" s="63">
        <f t="shared" si="8"/>
        <v>21</v>
      </c>
      <c r="DA17" s="63">
        <f t="shared" si="8"/>
        <v>274</v>
      </c>
      <c r="DB17" s="63">
        <f t="shared" si="8"/>
        <v>-66</v>
      </c>
      <c r="DC17" s="63">
        <f t="shared" si="8"/>
        <v>0</v>
      </c>
      <c r="DD17" s="63">
        <f t="shared" si="8"/>
        <v>14.65</v>
      </c>
      <c r="DE17" s="63">
        <f t="shared" si="8"/>
        <v>9</v>
      </c>
      <c r="DF17" s="63" t="e">
        <f t="shared" si="8"/>
        <v>#NUM!</v>
      </c>
      <c r="DG17" s="63">
        <f t="shared" si="8"/>
        <v>7.81</v>
      </c>
      <c r="DH17" s="63">
        <f t="shared" si="8"/>
        <v>377</v>
      </c>
      <c r="DI17" s="63">
        <f t="shared" si="8"/>
        <v>0.92376082677768212</v>
      </c>
      <c r="DJ17" s="63">
        <f t="shared" si="8"/>
        <v>15420</v>
      </c>
      <c r="DK17" s="63">
        <f t="shared" si="8"/>
        <v>13800</v>
      </c>
      <c r="DL17" s="63">
        <f t="shared" si="8"/>
        <v>31</v>
      </c>
      <c r="DM17" s="63">
        <f t="shared" si="8"/>
        <v>10.5</v>
      </c>
      <c r="DN17" s="63">
        <f t="shared" si="8"/>
        <v>12.399999999999999</v>
      </c>
      <c r="DO17" s="63">
        <f t="shared" si="8"/>
        <v>2</v>
      </c>
      <c r="DP17" s="63">
        <f t="shared" si="8"/>
        <v>104.5</v>
      </c>
      <c r="DQ17" s="63">
        <f t="shared" si="8"/>
        <v>26.1</v>
      </c>
      <c r="DR17" s="63">
        <f t="shared" si="8"/>
        <v>279</v>
      </c>
      <c r="DS17" s="63">
        <f t="shared" si="8"/>
        <v>21.85</v>
      </c>
      <c r="DT17" s="63">
        <f t="shared" si="8"/>
        <v>10.5</v>
      </c>
      <c r="DU17" s="63">
        <f t="shared" si="8"/>
        <v>9930</v>
      </c>
      <c r="DV17" s="63">
        <f t="shared" si="8"/>
        <v>7550</v>
      </c>
      <c r="DW17" s="63">
        <f t="shared" si="8"/>
        <v>35</v>
      </c>
      <c r="DX17" s="63">
        <f t="shared" si="8"/>
        <v>11</v>
      </c>
      <c r="DY17" s="63">
        <f t="shared" si="8"/>
        <v>9.8000000000000007</v>
      </c>
      <c r="DZ17" s="63">
        <f t="shared" si="8"/>
        <v>1.9</v>
      </c>
      <c r="EA17" s="63">
        <f t="shared" si="8"/>
        <v>80</v>
      </c>
      <c r="EB17" s="63">
        <f t="shared" si="8"/>
        <v>29</v>
      </c>
      <c r="EC17" s="63">
        <f t="shared" si="8"/>
        <v>341.35</v>
      </c>
      <c r="ED17" s="63">
        <f t="shared" si="8"/>
        <v>22</v>
      </c>
      <c r="EE17" s="63">
        <f t="shared" ref="EE17:EQ17" si="9">MEDIAN(ED3:ED13)</f>
        <v>10</v>
      </c>
      <c r="EF17" s="63">
        <f t="shared" si="9"/>
        <v>9840</v>
      </c>
      <c r="EG17" s="63">
        <f t="shared" si="9"/>
        <v>17900</v>
      </c>
      <c r="EH17" s="63">
        <f t="shared" si="9"/>
        <v>33</v>
      </c>
      <c r="EI17" s="63">
        <f t="shared" si="9"/>
        <v>10.55</v>
      </c>
      <c r="EJ17" s="63">
        <f t="shared" si="9"/>
        <v>10.5</v>
      </c>
      <c r="EK17" s="63">
        <f t="shared" si="9"/>
        <v>2</v>
      </c>
      <c r="EL17" s="63">
        <f t="shared" si="9"/>
        <v>70</v>
      </c>
      <c r="EM17" s="63">
        <f t="shared" si="9"/>
        <v>31</v>
      </c>
      <c r="EN17" s="63">
        <f t="shared" si="9"/>
        <v>264</v>
      </c>
      <c r="EO17" s="63">
        <f t="shared" si="9"/>
        <v>191</v>
      </c>
      <c r="EP17" s="63">
        <f t="shared" si="9"/>
        <v>22</v>
      </c>
      <c r="EQ17" s="63">
        <f t="shared" si="9"/>
        <v>11</v>
      </c>
    </row>
    <row r="18" spans="2:147" s="63" customFormat="1" x14ac:dyDescent="0.25">
      <c r="E18" s="63" t="s">
        <v>742</v>
      </c>
      <c r="F18" s="63">
        <f>PERCENTILE(E3:E13,0.25)</f>
        <v>41.85</v>
      </c>
      <c r="G18" s="63" t="e">
        <f t="shared" ref="G18:BR18" si="10">PERCENTILE(F3:F13,0.25)</f>
        <v>#NUM!</v>
      </c>
      <c r="H18" s="63">
        <f t="shared" si="10"/>
        <v>39926</v>
      </c>
      <c r="I18" s="63">
        <f t="shared" si="10"/>
        <v>1</v>
      </c>
      <c r="J18" s="63" t="e">
        <f t="shared" si="10"/>
        <v>#NUM!</v>
      </c>
      <c r="K18" s="63">
        <f t="shared" si="10"/>
        <v>0</v>
      </c>
      <c r="L18" s="63">
        <f t="shared" si="10"/>
        <v>27.15</v>
      </c>
      <c r="M18" s="63">
        <f t="shared" si="10"/>
        <v>90</v>
      </c>
      <c r="N18" s="63">
        <f t="shared" si="10"/>
        <v>40</v>
      </c>
      <c r="O18" s="63">
        <f t="shared" si="10"/>
        <v>39934</v>
      </c>
      <c r="P18" s="63">
        <f t="shared" si="10"/>
        <v>26</v>
      </c>
      <c r="Q18" s="63">
        <f t="shared" si="10"/>
        <v>39973</v>
      </c>
      <c r="R18" s="63">
        <f t="shared" si="10"/>
        <v>0</v>
      </c>
      <c r="S18" s="63">
        <f t="shared" si="10"/>
        <v>0</v>
      </c>
      <c r="T18" s="63">
        <f t="shared" si="10"/>
        <v>39872.5</v>
      </c>
      <c r="U18" s="63">
        <f t="shared" si="10"/>
        <v>1</v>
      </c>
      <c r="V18" s="63">
        <f t="shared" si="10"/>
        <v>0</v>
      </c>
      <c r="W18" s="63">
        <f t="shared" si="10"/>
        <v>39825.5</v>
      </c>
      <c r="X18" s="63" t="e">
        <f t="shared" si="10"/>
        <v>#NUM!</v>
      </c>
      <c r="Y18" s="63" t="e">
        <f t="shared" si="10"/>
        <v>#NUM!</v>
      </c>
      <c r="Z18" s="63" t="e">
        <f t="shared" si="10"/>
        <v>#NUM!</v>
      </c>
      <c r="AA18" s="63">
        <f t="shared" si="10"/>
        <v>40300.75</v>
      </c>
      <c r="AB18" s="63">
        <f t="shared" si="10"/>
        <v>0</v>
      </c>
      <c r="AC18" s="63">
        <f t="shared" si="10"/>
        <v>40242.25</v>
      </c>
      <c r="AD18" s="63">
        <f t="shared" si="10"/>
        <v>0</v>
      </c>
      <c r="AE18" s="63">
        <f t="shared" si="10"/>
        <v>39967</v>
      </c>
      <c r="AF18" s="63">
        <f t="shared" si="10"/>
        <v>0</v>
      </c>
      <c r="AG18" s="63">
        <f t="shared" si="10"/>
        <v>39982.5</v>
      </c>
      <c r="AH18" s="63">
        <f t="shared" si="10"/>
        <v>0</v>
      </c>
      <c r="AI18" s="63">
        <f t="shared" si="10"/>
        <v>40361</v>
      </c>
      <c r="AJ18" s="63">
        <f t="shared" si="10"/>
        <v>0</v>
      </c>
      <c r="AK18" s="63">
        <f t="shared" si="10"/>
        <v>2</v>
      </c>
      <c r="AL18" s="63">
        <f t="shared" si="10"/>
        <v>15.5</v>
      </c>
      <c r="AM18" s="63">
        <f t="shared" si="10"/>
        <v>1</v>
      </c>
      <c r="AN18" s="63">
        <f t="shared" si="10"/>
        <v>1</v>
      </c>
      <c r="AO18" s="63">
        <f t="shared" si="10"/>
        <v>0</v>
      </c>
      <c r="AP18" s="63">
        <f t="shared" si="10"/>
        <v>0</v>
      </c>
      <c r="AQ18" s="63">
        <f t="shared" si="10"/>
        <v>0</v>
      </c>
      <c r="AR18" s="63">
        <f t="shared" si="10"/>
        <v>0</v>
      </c>
      <c r="AS18" s="63">
        <f t="shared" si="10"/>
        <v>2</v>
      </c>
      <c r="AT18" s="63">
        <f t="shared" si="10"/>
        <v>1</v>
      </c>
      <c r="AU18" s="63">
        <f t="shared" si="10"/>
        <v>7500</v>
      </c>
      <c r="AV18" s="63">
        <f t="shared" si="10"/>
        <v>4428</v>
      </c>
      <c r="AW18" s="63">
        <f t="shared" si="10"/>
        <v>33</v>
      </c>
      <c r="AX18" s="63">
        <f t="shared" si="10"/>
        <v>7.0750000000000002</v>
      </c>
      <c r="AY18" s="63">
        <f t="shared" si="10"/>
        <v>10.5</v>
      </c>
      <c r="AZ18" s="63">
        <f t="shared" si="10"/>
        <v>1.7</v>
      </c>
      <c r="BA18" s="63">
        <f t="shared" si="10"/>
        <v>127</v>
      </c>
      <c r="BB18" s="63">
        <f t="shared" si="10"/>
        <v>120</v>
      </c>
      <c r="BC18" s="63">
        <f t="shared" si="10"/>
        <v>72.900000000000006</v>
      </c>
      <c r="BD18" s="63">
        <f t="shared" si="10"/>
        <v>23</v>
      </c>
      <c r="BE18" s="63">
        <f t="shared" si="10"/>
        <v>32.6</v>
      </c>
      <c r="BF18" s="63">
        <f t="shared" si="10"/>
        <v>6</v>
      </c>
      <c r="BG18" s="63">
        <f t="shared" si="10"/>
        <v>47.22</v>
      </c>
      <c r="BH18" s="64">
        <f t="shared" si="10"/>
        <v>11.5</v>
      </c>
      <c r="BI18" s="63">
        <f t="shared" si="10"/>
        <v>18.102883026164079</v>
      </c>
      <c r="BJ18" s="63">
        <f t="shared" si="10"/>
        <v>18.102883026164079</v>
      </c>
      <c r="BK18" s="63">
        <f t="shared" si="10"/>
        <v>7.2070000000000007</v>
      </c>
      <c r="BL18" s="63" t="e">
        <f t="shared" si="10"/>
        <v>#NUM!</v>
      </c>
      <c r="BM18" s="63" t="e">
        <f t="shared" si="10"/>
        <v>#NUM!</v>
      </c>
      <c r="BN18" s="63" t="e">
        <f t="shared" si="10"/>
        <v>#NUM!</v>
      </c>
      <c r="BO18" s="64">
        <f>PERCENTILE(BN3:BN13,0.25)</f>
        <v>9600</v>
      </c>
      <c r="BP18" s="63">
        <f t="shared" si="10"/>
        <v>7119.75</v>
      </c>
      <c r="BQ18" s="63">
        <f t="shared" si="10"/>
        <v>17</v>
      </c>
      <c r="BR18" s="63">
        <f t="shared" si="10"/>
        <v>9.1000000000000014</v>
      </c>
      <c r="BS18" s="63">
        <f t="shared" ref="BS18:ED18" si="11">PERCENTILE(BR3:BR13,0.25)</f>
        <v>10.5</v>
      </c>
      <c r="BT18" s="64">
        <f t="shared" si="11"/>
        <v>1.9</v>
      </c>
      <c r="BU18" s="64">
        <f t="shared" si="11"/>
        <v>104</v>
      </c>
      <c r="BV18" s="64">
        <f t="shared" si="11"/>
        <v>151.5</v>
      </c>
      <c r="BW18" s="63">
        <f t="shared" si="11"/>
        <v>131</v>
      </c>
      <c r="BX18" s="63">
        <f t="shared" si="11"/>
        <v>22.5</v>
      </c>
      <c r="BY18" s="63">
        <f t="shared" si="11"/>
        <v>18</v>
      </c>
      <c r="BZ18" s="64">
        <f t="shared" si="11"/>
        <v>6</v>
      </c>
      <c r="CA18" s="63">
        <f t="shared" si="11"/>
        <v>68.13</v>
      </c>
      <c r="CB18" s="64">
        <f t="shared" si="11"/>
        <v>24.27845887984234</v>
      </c>
      <c r="CC18" s="64">
        <f t="shared" si="11"/>
        <v>8.0323888888888888</v>
      </c>
      <c r="CD18" s="63" t="e">
        <f t="shared" si="11"/>
        <v>#NUM!</v>
      </c>
      <c r="CE18" s="63" t="e">
        <f t="shared" si="11"/>
        <v>#NUM!</v>
      </c>
      <c r="CF18" s="63" t="e">
        <f t="shared" si="11"/>
        <v>#NUM!</v>
      </c>
      <c r="CG18" s="63">
        <f t="shared" si="11"/>
        <v>9285</v>
      </c>
      <c r="CH18" s="63">
        <f t="shared" si="11"/>
        <v>7600</v>
      </c>
      <c r="CI18" s="63">
        <f t="shared" si="11"/>
        <v>19</v>
      </c>
      <c r="CJ18" s="63">
        <f t="shared" si="11"/>
        <v>13.824999999999999</v>
      </c>
      <c r="CK18" s="63">
        <f t="shared" si="11"/>
        <v>10.875</v>
      </c>
      <c r="CL18" s="63">
        <f t="shared" si="11"/>
        <v>2.6</v>
      </c>
      <c r="CM18" s="63">
        <f t="shared" si="11"/>
        <v>106</v>
      </c>
      <c r="CN18" s="63">
        <f t="shared" si="11"/>
        <v>22.5</v>
      </c>
      <c r="CO18" s="63">
        <f t="shared" si="11"/>
        <v>191.95</v>
      </c>
      <c r="CP18" s="63">
        <f t="shared" si="11"/>
        <v>9</v>
      </c>
      <c r="CQ18" s="63">
        <f t="shared" si="11"/>
        <v>8.1</v>
      </c>
      <c r="CR18" s="63">
        <f t="shared" si="11"/>
        <v>100.38</v>
      </c>
      <c r="CS18" s="63">
        <f t="shared" si="11"/>
        <v>12400</v>
      </c>
      <c r="CT18" s="63">
        <f t="shared" si="11"/>
        <v>8853.25</v>
      </c>
      <c r="CU18" s="63">
        <f t="shared" si="11"/>
        <v>20</v>
      </c>
      <c r="CV18" s="63">
        <f t="shared" si="11"/>
        <v>11.899999999999999</v>
      </c>
      <c r="CW18" s="63">
        <f t="shared" si="11"/>
        <v>10.5</v>
      </c>
      <c r="CX18" s="63">
        <f t="shared" si="11"/>
        <v>2.2400000000000002</v>
      </c>
      <c r="CY18" s="63">
        <f t="shared" si="11"/>
        <v>96.75</v>
      </c>
      <c r="CZ18" s="63">
        <f t="shared" si="11"/>
        <v>19.95</v>
      </c>
      <c r="DA18" s="63">
        <f t="shared" si="11"/>
        <v>217</v>
      </c>
      <c r="DB18" s="63">
        <f t="shared" si="11"/>
        <v>-134</v>
      </c>
      <c r="DC18" s="63">
        <f t="shared" si="11"/>
        <v>0</v>
      </c>
      <c r="DD18" s="63">
        <f t="shared" si="11"/>
        <v>11.45</v>
      </c>
      <c r="DE18" s="63">
        <f t="shared" si="11"/>
        <v>7</v>
      </c>
      <c r="DF18" s="63" t="e">
        <f t="shared" si="11"/>
        <v>#NUM!</v>
      </c>
      <c r="DG18" s="63">
        <f t="shared" si="11"/>
        <v>7.81</v>
      </c>
      <c r="DH18" s="63">
        <f t="shared" si="11"/>
        <v>377</v>
      </c>
      <c r="DI18" s="63">
        <f t="shared" si="11"/>
        <v>0.80962345326476548</v>
      </c>
      <c r="DJ18" s="63">
        <f t="shared" si="11"/>
        <v>11235</v>
      </c>
      <c r="DK18" s="63">
        <f t="shared" si="11"/>
        <v>9500</v>
      </c>
      <c r="DL18" s="63">
        <f t="shared" si="11"/>
        <v>25</v>
      </c>
      <c r="DM18" s="63">
        <f t="shared" si="11"/>
        <v>10.5</v>
      </c>
      <c r="DN18" s="63">
        <f t="shared" si="11"/>
        <v>8.4250000000000007</v>
      </c>
      <c r="DO18" s="63">
        <f t="shared" si="11"/>
        <v>1.7000000000000002</v>
      </c>
      <c r="DP18" s="63">
        <f t="shared" si="11"/>
        <v>83.25</v>
      </c>
      <c r="DQ18" s="63">
        <f t="shared" si="11"/>
        <v>22.25</v>
      </c>
      <c r="DR18" s="63">
        <f t="shared" si="11"/>
        <v>231.75</v>
      </c>
      <c r="DS18" s="63">
        <f t="shared" si="11"/>
        <v>17.425000000000001</v>
      </c>
      <c r="DT18" s="63">
        <f t="shared" si="11"/>
        <v>8.75</v>
      </c>
      <c r="DU18" s="63">
        <f t="shared" si="11"/>
        <v>7417.5</v>
      </c>
      <c r="DV18" s="63">
        <f t="shared" si="11"/>
        <v>7425</v>
      </c>
      <c r="DW18" s="63">
        <f t="shared" si="11"/>
        <v>30.25</v>
      </c>
      <c r="DX18" s="63">
        <f t="shared" si="11"/>
        <v>10.5</v>
      </c>
      <c r="DY18" s="63">
        <f t="shared" si="11"/>
        <v>9.4</v>
      </c>
      <c r="DZ18" s="63">
        <f t="shared" si="11"/>
        <v>1.875</v>
      </c>
      <c r="EA18" s="63">
        <f t="shared" si="11"/>
        <v>63.75</v>
      </c>
      <c r="EB18" s="63">
        <f t="shared" si="11"/>
        <v>28</v>
      </c>
      <c r="EC18" s="63">
        <f t="shared" si="11"/>
        <v>229</v>
      </c>
      <c r="ED18" s="63">
        <f t="shared" si="11"/>
        <v>14.75</v>
      </c>
      <c r="EE18" s="63">
        <f t="shared" ref="EE18:EQ18" si="12">PERCENTILE(ED3:ED13,0.25)</f>
        <v>9.9499999999999993</v>
      </c>
      <c r="EF18" s="63">
        <f t="shared" si="12"/>
        <v>7845</v>
      </c>
      <c r="EG18" s="63">
        <f t="shared" si="12"/>
        <v>17900</v>
      </c>
      <c r="EH18" s="63">
        <f t="shared" si="12"/>
        <v>31.5</v>
      </c>
      <c r="EI18" s="63">
        <f t="shared" si="12"/>
        <v>9.25</v>
      </c>
      <c r="EJ18" s="63">
        <f t="shared" si="12"/>
        <v>10.5</v>
      </c>
      <c r="EK18" s="63">
        <f t="shared" si="12"/>
        <v>1.9</v>
      </c>
      <c r="EL18" s="63">
        <f t="shared" si="12"/>
        <v>53.5</v>
      </c>
      <c r="EM18" s="63">
        <f t="shared" si="12"/>
        <v>27.25</v>
      </c>
      <c r="EN18" s="63">
        <f t="shared" si="12"/>
        <v>239.5</v>
      </c>
      <c r="EO18" s="63">
        <f t="shared" si="12"/>
        <v>158.5</v>
      </c>
      <c r="EP18" s="63">
        <f t="shared" si="12"/>
        <v>13.5</v>
      </c>
      <c r="EQ18" s="63">
        <f t="shared" si="12"/>
        <v>9</v>
      </c>
    </row>
    <row r="19" spans="2:147" s="63" customFormat="1" x14ac:dyDescent="0.25">
      <c r="E19" s="63" t="s">
        <v>743</v>
      </c>
      <c r="F19" s="63">
        <f>PERCENTILE(E3:E13,0.75)</f>
        <v>52.297222222222224</v>
      </c>
      <c r="G19" s="63" t="e">
        <f t="shared" ref="G19:BR19" si="13">PERCENTILE(F3:F13,0.75)</f>
        <v>#NUM!</v>
      </c>
      <c r="H19" s="63">
        <f t="shared" si="13"/>
        <v>40998</v>
      </c>
      <c r="I19" s="63">
        <f t="shared" si="13"/>
        <v>1</v>
      </c>
      <c r="J19" s="63" t="e">
        <f t="shared" si="13"/>
        <v>#NUM!</v>
      </c>
      <c r="K19" s="63">
        <f t="shared" si="13"/>
        <v>0</v>
      </c>
      <c r="L19" s="63">
        <f t="shared" si="13"/>
        <v>30.700000000000003</v>
      </c>
      <c r="M19" s="63">
        <f t="shared" si="13"/>
        <v>170</v>
      </c>
      <c r="N19" s="63">
        <f t="shared" si="13"/>
        <v>40</v>
      </c>
      <c r="O19" s="63">
        <f t="shared" si="13"/>
        <v>41002</v>
      </c>
      <c r="P19" s="63">
        <f t="shared" si="13"/>
        <v>38</v>
      </c>
      <c r="Q19" s="63">
        <f t="shared" si="13"/>
        <v>41035</v>
      </c>
      <c r="R19" s="63">
        <f t="shared" si="13"/>
        <v>0</v>
      </c>
      <c r="S19" s="63">
        <f t="shared" si="13"/>
        <v>1</v>
      </c>
      <c r="T19" s="63">
        <f t="shared" si="13"/>
        <v>41042.25</v>
      </c>
      <c r="U19" s="63">
        <f t="shared" si="13"/>
        <v>1</v>
      </c>
      <c r="V19" s="63">
        <f t="shared" si="13"/>
        <v>1</v>
      </c>
      <c r="W19" s="63">
        <f t="shared" si="13"/>
        <v>40767</v>
      </c>
      <c r="X19" s="63" t="e">
        <f t="shared" si="13"/>
        <v>#NUM!</v>
      </c>
      <c r="Y19" s="63" t="e">
        <f t="shared" si="13"/>
        <v>#NUM!</v>
      </c>
      <c r="Z19" s="63" t="e">
        <f t="shared" si="13"/>
        <v>#NUM!</v>
      </c>
      <c r="AA19" s="63">
        <f t="shared" si="13"/>
        <v>41041.75</v>
      </c>
      <c r="AB19" s="63">
        <f t="shared" si="13"/>
        <v>0</v>
      </c>
      <c r="AC19" s="63">
        <f t="shared" si="13"/>
        <v>41043.75</v>
      </c>
      <c r="AD19" s="63">
        <f t="shared" si="13"/>
        <v>0</v>
      </c>
      <c r="AE19" s="63">
        <f t="shared" si="13"/>
        <v>41018</v>
      </c>
      <c r="AF19" s="63">
        <f t="shared" si="13"/>
        <v>0</v>
      </c>
      <c r="AG19" s="63">
        <f t="shared" si="13"/>
        <v>40991</v>
      </c>
      <c r="AH19" s="63">
        <f t="shared" si="13"/>
        <v>0</v>
      </c>
      <c r="AI19" s="63">
        <f t="shared" si="13"/>
        <v>41043.75</v>
      </c>
      <c r="AJ19" s="63">
        <f t="shared" si="13"/>
        <v>0</v>
      </c>
      <c r="AK19" s="63">
        <f t="shared" si="13"/>
        <v>2</v>
      </c>
      <c r="AL19" s="63">
        <f t="shared" si="13"/>
        <v>16.5</v>
      </c>
      <c r="AM19" s="63">
        <f t="shared" si="13"/>
        <v>3</v>
      </c>
      <c r="AN19" s="63">
        <f t="shared" si="13"/>
        <v>1</v>
      </c>
      <c r="AO19" s="63">
        <f t="shared" si="13"/>
        <v>0</v>
      </c>
      <c r="AP19" s="63">
        <f t="shared" si="13"/>
        <v>0</v>
      </c>
      <c r="AQ19" s="63">
        <f t="shared" si="13"/>
        <v>0</v>
      </c>
      <c r="AR19" s="63">
        <f t="shared" si="13"/>
        <v>0</v>
      </c>
      <c r="AS19" s="63">
        <f t="shared" si="13"/>
        <v>3</v>
      </c>
      <c r="AT19" s="63">
        <f t="shared" si="13"/>
        <v>1</v>
      </c>
      <c r="AU19" s="63">
        <f t="shared" si="13"/>
        <v>13130</v>
      </c>
      <c r="AV19" s="63">
        <f t="shared" si="13"/>
        <v>9469</v>
      </c>
      <c r="AW19" s="63">
        <f t="shared" si="13"/>
        <v>47</v>
      </c>
      <c r="AX19" s="63">
        <f t="shared" si="13"/>
        <v>8.2750000000000004</v>
      </c>
      <c r="AY19" s="63">
        <f t="shared" si="13"/>
        <v>13.049999999999999</v>
      </c>
      <c r="AZ19" s="63">
        <f t="shared" si="13"/>
        <v>2.8</v>
      </c>
      <c r="BA19" s="63">
        <f t="shared" si="13"/>
        <v>201</v>
      </c>
      <c r="BB19" s="63">
        <f t="shared" si="13"/>
        <v>264</v>
      </c>
      <c r="BC19" s="63">
        <f t="shared" si="13"/>
        <v>145.75</v>
      </c>
      <c r="BD19" s="63">
        <f t="shared" si="13"/>
        <v>26</v>
      </c>
      <c r="BE19" s="63">
        <f t="shared" si="13"/>
        <v>55.5</v>
      </c>
      <c r="BF19" s="63">
        <f t="shared" si="13"/>
        <v>7</v>
      </c>
      <c r="BG19" s="63">
        <f t="shared" si="13"/>
        <v>61.269999999999996</v>
      </c>
      <c r="BH19" s="64">
        <f t="shared" si="13"/>
        <v>13</v>
      </c>
      <c r="BI19" s="63">
        <f t="shared" si="13"/>
        <v>20.937930784093659</v>
      </c>
      <c r="BJ19" s="63">
        <f t="shared" si="13"/>
        <v>20.937930784093659</v>
      </c>
      <c r="BK19" s="63">
        <f t="shared" si="13"/>
        <v>8.84</v>
      </c>
      <c r="BL19" s="63" t="e">
        <f t="shared" si="13"/>
        <v>#NUM!</v>
      </c>
      <c r="BM19" s="63" t="e">
        <f t="shared" si="13"/>
        <v>#NUM!</v>
      </c>
      <c r="BN19" s="63" t="e">
        <f t="shared" si="13"/>
        <v>#NUM!</v>
      </c>
      <c r="BO19" s="64">
        <f t="shared" si="13"/>
        <v>13210</v>
      </c>
      <c r="BP19" s="63">
        <f t="shared" si="13"/>
        <v>13160.5</v>
      </c>
      <c r="BQ19" s="63">
        <f t="shared" si="13"/>
        <v>35</v>
      </c>
      <c r="BR19" s="63">
        <f t="shared" si="13"/>
        <v>13.1</v>
      </c>
      <c r="BS19" s="63">
        <f t="shared" ref="BS19:ED19" si="14">PERCENTILE(BR3:BR13,0.75)</f>
        <v>12.899999999999999</v>
      </c>
      <c r="BT19" s="64">
        <f t="shared" si="14"/>
        <v>2.8</v>
      </c>
      <c r="BU19" s="64">
        <f t="shared" si="14"/>
        <v>127.75</v>
      </c>
      <c r="BV19" s="64">
        <f t="shared" si="14"/>
        <v>273.5</v>
      </c>
      <c r="BW19" s="63">
        <f t="shared" si="14"/>
        <v>214</v>
      </c>
      <c r="BX19" s="63">
        <f t="shared" si="14"/>
        <v>27</v>
      </c>
      <c r="BY19" s="63">
        <f t="shared" si="14"/>
        <v>41</v>
      </c>
      <c r="BZ19" s="64">
        <f t="shared" si="14"/>
        <v>10.199999999999999</v>
      </c>
      <c r="CA19" s="63">
        <f t="shared" si="14"/>
        <v>80.06</v>
      </c>
      <c r="CB19" s="64">
        <f t="shared" si="14"/>
        <v>31.979621597483771</v>
      </c>
      <c r="CC19" s="64">
        <f t="shared" si="14"/>
        <v>9.5477222222222213</v>
      </c>
      <c r="CD19" s="63" t="e">
        <f t="shared" si="14"/>
        <v>#NUM!</v>
      </c>
      <c r="CE19" s="63" t="e">
        <f t="shared" si="14"/>
        <v>#NUM!</v>
      </c>
      <c r="CF19" s="63" t="e">
        <f t="shared" si="14"/>
        <v>#NUM!</v>
      </c>
      <c r="CG19" s="63">
        <f t="shared" si="14"/>
        <v>18767.5</v>
      </c>
      <c r="CH19" s="63">
        <f t="shared" si="14"/>
        <v>11432.5</v>
      </c>
      <c r="CI19" s="63">
        <f t="shared" si="14"/>
        <v>25.25</v>
      </c>
      <c r="CJ19" s="63">
        <f t="shared" si="14"/>
        <v>18.8</v>
      </c>
      <c r="CK19" s="63">
        <f t="shared" si="14"/>
        <v>12.85</v>
      </c>
      <c r="CL19" s="63">
        <f t="shared" si="14"/>
        <v>3.3200000000000003</v>
      </c>
      <c r="CM19" s="63">
        <f t="shared" si="14"/>
        <v>133.25</v>
      </c>
      <c r="CN19" s="63">
        <f t="shared" si="14"/>
        <v>26.5</v>
      </c>
      <c r="CO19" s="63">
        <f t="shared" si="14"/>
        <v>366</v>
      </c>
      <c r="CP19" s="63">
        <f t="shared" si="14"/>
        <v>26.3</v>
      </c>
      <c r="CQ19" s="63">
        <f t="shared" si="14"/>
        <v>18.024999999999999</v>
      </c>
      <c r="CR19" s="63">
        <f t="shared" si="14"/>
        <v>122.395</v>
      </c>
      <c r="CS19" s="63">
        <f t="shared" si="14"/>
        <v>21520</v>
      </c>
      <c r="CT19" s="63">
        <f t="shared" si="14"/>
        <v>12032.5</v>
      </c>
      <c r="CU19" s="63">
        <f t="shared" si="14"/>
        <v>31</v>
      </c>
      <c r="CV19" s="63">
        <f t="shared" si="14"/>
        <v>21.6</v>
      </c>
      <c r="CW19" s="63">
        <f t="shared" si="14"/>
        <v>11.8</v>
      </c>
      <c r="CX19" s="63">
        <f t="shared" si="14"/>
        <v>3.1500000000000004</v>
      </c>
      <c r="CY19" s="63">
        <f t="shared" si="14"/>
        <v>135.75</v>
      </c>
      <c r="CZ19" s="63">
        <f t="shared" si="14"/>
        <v>27.95</v>
      </c>
      <c r="DA19" s="63">
        <f t="shared" si="14"/>
        <v>390</v>
      </c>
      <c r="DB19" s="63">
        <f t="shared" si="14"/>
        <v>-27</v>
      </c>
      <c r="DC19" s="63">
        <f t="shared" si="14"/>
        <v>0</v>
      </c>
      <c r="DD19" s="63">
        <f t="shared" si="14"/>
        <v>20.25</v>
      </c>
      <c r="DE19" s="63">
        <f t="shared" si="14"/>
        <v>14.5</v>
      </c>
      <c r="DF19" s="63" t="e">
        <f t="shared" si="14"/>
        <v>#NUM!</v>
      </c>
      <c r="DG19" s="63">
        <f t="shared" si="14"/>
        <v>7.81</v>
      </c>
      <c r="DH19" s="63">
        <f t="shared" si="14"/>
        <v>377</v>
      </c>
      <c r="DI19" s="63">
        <f t="shared" si="14"/>
        <v>0.9647158186421545</v>
      </c>
      <c r="DJ19" s="63">
        <f t="shared" si="14"/>
        <v>20597.5</v>
      </c>
      <c r="DK19" s="63">
        <f t="shared" si="14"/>
        <v>13900</v>
      </c>
      <c r="DL19" s="63">
        <f t="shared" si="14"/>
        <v>37</v>
      </c>
      <c r="DM19" s="63">
        <f t="shared" si="14"/>
        <v>11</v>
      </c>
      <c r="DN19" s="63">
        <f t="shared" si="14"/>
        <v>14.525</v>
      </c>
      <c r="DO19" s="63">
        <f t="shared" si="14"/>
        <v>2.5999999999999996</v>
      </c>
      <c r="DP19" s="63">
        <f t="shared" si="14"/>
        <v>139.75</v>
      </c>
      <c r="DQ19" s="63">
        <f t="shared" si="14"/>
        <v>29.8</v>
      </c>
      <c r="DR19" s="63">
        <f t="shared" si="14"/>
        <v>409.57500000000005</v>
      </c>
      <c r="DS19" s="63">
        <f t="shared" si="14"/>
        <v>22.75</v>
      </c>
      <c r="DT19" s="63">
        <f t="shared" si="14"/>
        <v>13.324999999999999</v>
      </c>
      <c r="DU19" s="63">
        <f t="shared" si="14"/>
        <v>14715</v>
      </c>
      <c r="DV19" s="63">
        <f t="shared" si="14"/>
        <v>8775</v>
      </c>
      <c r="DW19" s="63">
        <f t="shared" si="14"/>
        <v>36.5</v>
      </c>
      <c r="DX19" s="63">
        <f t="shared" si="14"/>
        <v>12.05</v>
      </c>
      <c r="DY19" s="63">
        <f t="shared" si="14"/>
        <v>10.199999999999999</v>
      </c>
      <c r="DZ19" s="63">
        <f t="shared" si="14"/>
        <v>2.15</v>
      </c>
      <c r="EA19" s="63">
        <f t="shared" si="14"/>
        <v>100</v>
      </c>
      <c r="EB19" s="63">
        <f t="shared" si="14"/>
        <v>30</v>
      </c>
      <c r="EC19" s="63">
        <f t="shared" si="14"/>
        <v>417.5</v>
      </c>
      <c r="ED19" s="63">
        <f t="shared" si="14"/>
        <v>24.75</v>
      </c>
      <c r="EE19" s="63">
        <f t="shared" ref="EE19:EQ19" si="15">PERCENTILE(ED3:ED13,0.75)</f>
        <v>13.4</v>
      </c>
      <c r="EF19" s="63">
        <f t="shared" si="15"/>
        <v>16290</v>
      </c>
      <c r="EG19" s="63">
        <f t="shared" si="15"/>
        <v>17900</v>
      </c>
      <c r="EH19" s="63">
        <f t="shared" si="15"/>
        <v>35.5</v>
      </c>
      <c r="EI19" s="63">
        <f t="shared" si="15"/>
        <v>11.775</v>
      </c>
      <c r="EJ19" s="63">
        <f t="shared" si="15"/>
        <v>10.875</v>
      </c>
      <c r="EK19" s="63">
        <f t="shared" si="15"/>
        <v>2.1</v>
      </c>
      <c r="EL19" s="63">
        <f t="shared" si="15"/>
        <v>100.5</v>
      </c>
      <c r="EM19" s="63">
        <f t="shared" si="15"/>
        <v>35</v>
      </c>
      <c r="EN19" s="63">
        <f t="shared" si="15"/>
        <v>340.5</v>
      </c>
      <c r="EO19" s="63">
        <f t="shared" si="15"/>
        <v>230.45</v>
      </c>
      <c r="EP19" s="63">
        <f t="shared" si="15"/>
        <v>25</v>
      </c>
      <c r="EQ19" s="63">
        <f t="shared" si="15"/>
        <v>13.5</v>
      </c>
    </row>
    <row r="20" spans="2:147" x14ac:dyDescent="0.25">
      <c r="E20" s="63"/>
      <c r="F20" s="63"/>
      <c r="BB20" s="3"/>
      <c r="BC20" s="54"/>
    </row>
    <row r="21" spans="2:147" x14ac:dyDescent="0.25">
      <c r="E21" s="63"/>
      <c r="F21" s="63"/>
      <c r="G21" s="63"/>
      <c r="BB21" s="3"/>
      <c r="BC21" s="54"/>
    </row>
    <row r="22" spans="2:147" x14ac:dyDescent="0.25">
      <c r="BB22" s="3"/>
      <c r="BC22" s="54"/>
    </row>
    <row r="23" spans="2:147" x14ac:dyDescent="0.25">
      <c r="B23" s="39" t="s">
        <v>519</v>
      </c>
      <c r="C23" s="39"/>
      <c r="D23" s="38"/>
      <c r="E23" s="38"/>
      <c r="F23" s="37"/>
      <c r="G23" s="37"/>
      <c r="H23" s="37"/>
      <c r="I23" s="37"/>
      <c r="J23" s="37"/>
      <c r="K23" s="37"/>
      <c r="L23" s="37"/>
      <c r="X23" s="37"/>
      <c r="Y23" s="37"/>
      <c r="BB23" s="3"/>
      <c r="BC23" s="54"/>
    </row>
    <row r="24" spans="2:147" x14ac:dyDescent="0.25"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BB24" s="3"/>
      <c r="BC24" s="54"/>
    </row>
    <row r="25" spans="2:147" x14ac:dyDescent="0.25">
      <c r="B25" s="38" t="s">
        <v>518</v>
      </c>
      <c r="C25" s="38" t="s">
        <v>517</v>
      </c>
      <c r="D25" s="38"/>
      <c r="E25" s="38" t="s">
        <v>516</v>
      </c>
      <c r="F25" s="38"/>
      <c r="G25" s="38"/>
      <c r="H25" s="38"/>
      <c r="I25" s="38" t="s">
        <v>515</v>
      </c>
      <c r="J25" s="38" t="s">
        <v>514</v>
      </c>
      <c r="L25" s="37"/>
      <c r="BB25" s="3"/>
      <c r="BC25" s="54"/>
    </row>
    <row r="26" spans="2:147" x14ac:dyDescent="0.25">
      <c r="B26" s="37" t="s">
        <v>513</v>
      </c>
      <c r="C26" s="37" t="s">
        <v>512</v>
      </c>
      <c r="D26" s="37"/>
      <c r="E26" s="37" t="s">
        <v>511</v>
      </c>
      <c r="F26" s="37"/>
      <c r="G26" s="37" t="s">
        <v>510</v>
      </c>
      <c r="H26" s="37"/>
      <c r="I26" s="37" t="s">
        <v>509</v>
      </c>
      <c r="J26" s="37" t="s">
        <v>509</v>
      </c>
      <c r="L26" s="37"/>
      <c r="BB26" s="3"/>
      <c r="BC26" s="54"/>
    </row>
    <row r="27" spans="2:147" x14ac:dyDescent="0.25">
      <c r="B27" s="37" t="s">
        <v>508</v>
      </c>
      <c r="C27" s="37" t="s">
        <v>507</v>
      </c>
      <c r="D27" s="37"/>
      <c r="E27" s="37" t="s">
        <v>506</v>
      </c>
      <c r="F27" s="37"/>
      <c r="G27" s="37" t="s">
        <v>505</v>
      </c>
      <c r="H27" s="37"/>
      <c r="I27" s="37" t="s">
        <v>504</v>
      </c>
      <c r="J27" s="37" t="s">
        <v>503</v>
      </c>
      <c r="L27" s="37"/>
      <c r="BB27" s="3"/>
      <c r="BC27" s="54"/>
    </row>
    <row r="28" spans="2:147" x14ac:dyDescent="0.25">
      <c r="B28" s="37"/>
      <c r="C28" s="37" t="s">
        <v>502</v>
      </c>
      <c r="D28" s="37"/>
      <c r="E28" s="37" t="s">
        <v>501</v>
      </c>
      <c r="F28" s="37"/>
      <c r="G28" s="37" t="s">
        <v>500</v>
      </c>
      <c r="H28" s="37"/>
      <c r="I28" s="37" t="s">
        <v>499</v>
      </c>
      <c r="J28" s="37" t="s">
        <v>498</v>
      </c>
      <c r="L28" s="37"/>
      <c r="BB28" s="3"/>
      <c r="BC28" s="54"/>
    </row>
    <row r="29" spans="2:147" x14ac:dyDescent="0.25">
      <c r="B29" s="37"/>
      <c r="C29" s="37"/>
      <c r="D29" s="37"/>
      <c r="E29" s="37"/>
      <c r="F29" s="37"/>
      <c r="G29" s="37" t="s">
        <v>497</v>
      </c>
      <c r="H29" s="37"/>
      <c r="I29" s="37"/>
      <c r="J29" s="37"/>
      <c r="L29" s="37"/>
    </row>
    <row r="30" spans="2:147" x14ac:dyDescent="0.25">
      <c r="B30" s="37"/>
      <c r="C30" s="37"/>
      <c r="D30" s="37"/>
      <c r="E30" s="37"/>
      <c r="F30" s="37"/>
      <c r="G30" s="37" t="s">
        <v>496</v>
      </c>
      <c r="H30" s="37"/>
      <c r="I30" s="37"/>
      <c r="J30" s="37"/>
      <c r="L30" s="37"/>
    </row>
    <row r="31" spans="2:147" x14ac:dyDescent="0.25">
      <c r="B31" s="37"/>
      <c r="C31" s="37"/>
      <c r="D31" s="37"/>
      <c r="E31" s="37"/>
      <c r="F31" s="37"/>
      <c r="G31" s="37" t="s">
        <v>495</v>
      </c>
      <c r="H31" s="37"/>
      <c r="I31" s="37"/>
      <c r="J31" s="37"/>
      <c r="L31" s="3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82"/>
  <sheetViews>
    <sheetView topLeftCell="A10" workbookViewId="0">
      <selection activeCell="A10" sqref="A10"/>
    </sheetView>
  </sheetViews>
  <sheetFormatPr defaultColWidth="11" defaultRowHeight="15.75" x14ac:dyDescent="0.25"/>
  <sheetData>
    <row r="1" spans="1:91" x14ac:dyDescent="0.25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</row>
    <row r="2" spans="1:91" x14ac:dyDescent="0.25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</row>
    <row r="3" spans="1:91" x14ac:dyDescent="0.25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</row>
    <row r="4" spans="1:91" x14ac:dyDescent="0.25">
      <c r="A4" s="1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</row>
    <row r="5" spans="1:91" x14ac:dyDescent="0.25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6"/>
    </row>
    <row r="6" spans="1:91" x14ac:dyDescent="0.25">
      <c r="A6" s="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6"/>
    </row>
    <row r="7" spans="1:91" x14ac:dyDescent="0.25">
      <c r="A7" s="1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</row>
    <row r="8" spans="1:91" x14ac:dyDescent="0.25">
      <c r="A8" s="2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6"/>
    </row>
    <row r="9" spans="1:91" x14ac:dyDescent="0.25">
      <c r="A9" s="2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</row>
    <row r="10" spans="1:91" x14ac:dyDescent="0.25">
      <c r="A10" s="2"/>
      <c r="B10" s="6"/>
      <c r="C10" s="6"/>
      <c r="D10" s="6"/>
      <c r="E10" s="6"/>
      <c r="F10" s="6"/>
      <c r="G10" s="6"/>
      <c r="H10" s="6"/>
      <c r="I10" s="6"/>
      <c r="J10" s="5"/>
      <c r="K10" s="6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</row>
    <row r="11" spans="1:91" x14ac:dyDescent="0.25">
      <c r="A11" s="2"/>
      <c r="B11" s="6"/>
      <c r="C11" s="6"/>
      <c r="D11" s="6"/>
      <c r="E11" s="6"/>
      <c r="F11" s="6"/>
      <c r="G11" s="6"/>
      <c r="H11" s="6"/>
      <c r="I11" s="6"/>
      <c r="J11" s="5"/>
      <c r="K11" s="6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</row>
    <row r="12" spans="1:91" x14ac:dyDescent="0.25">
      <c r="A12" s="2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13"/>
      <c r="BM12" s="13"/>
      <c r="BN12" s="13"/>
      <c r="BO12" s="13"/>
      <c r="BP12" s="13"/>
      <c r="BQ12" s="13"/>
      <c r="BR12" s="13"/>
      <c r="BS12" s="13"/>
      <c r="BT12" s="13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5"/>
    </row>
    <row r="13" spans="1:91" x14ac:dyDescent="0.25">
      <c r="A13" s="2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13"/>
      <c r="BM13" s="13"/>
      <c r="BN13" s="13"/>
      <c r="BO13" s="13"/>
      <c r="BP13" s="13"/>
      <c r="BQ13" s="13"/>
      <c r="BR13" s="13"/>
      <c r="BS13" s="13"/>
      <c r="BT13" s="13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5"/>
    </row>
    <row r="14" spans="1:91" x14ac:dyDescent="0.25">
      <c r="A14" s="1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</row>
    <row r="15" spans="1:91" x14ac:dyDescent="0.25">
      <c r="A15" s="1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</row>
    <row r="16" spans="1:91" x14ac:dyDescent="0.25">
      <c r="A16" s="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</row>
    <row r="17" spans="1:91" x14ac:dyDescent="0.25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</row>
    <row r="18" spans="1:91" x14ac:dyDescent="0.25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</row>
    <row r="19" spans="1:91" x14ac:dyDescent="0.25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</row>
    <row r="20" spans="1:91" x14ac:dyDescent="0.25">
      <c r="A20" s="1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</row>
    <row r="21" spans="1:91" x14ac:dyDescent="0.25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</row>
    <row r="22" spans="1:91" x14ac:dyDescent="0.25">
      <c r="A22" s="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</row>
    <row r="23" spans="1:91" x14ac:dyDescent="0.25">
      <c r="A23" s="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</row>
    <row r="24" spans="1:91" x14ac:dyDescent="0.25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</row>
    <row r="25" spans="1:91" x14ac:dyDescent="0.25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</row>
    <row r="26" spans="1:91" x14ac:dyDescent="0.25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12"/>
      <c r="BM26" s="12"/>
      <c r="BN26" s="12"/>
      <c r="BO26" s="12"/>
      <c r="BP26" s="12"/>
      <c r="BQ26" s="12"/>
      <c r="BR26" s="12"/>
      <c r="BS26" s="12"/>
      <c r="BT26" s="12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12"/>
      <c r="CF26" s="12"/>
      <c r="CG26" s="12"/>
      <c r="CH26" s="12"/>
      <c r="CI26" s="12"/>
      <c r="CJ26" s="12"/>
      <c r="CK26" s="12"/>
      <c r="CL26" s="12"/>
      <c r="CM26" s="4"/>
    </row>
    <row r="27" spans="1:91" x14ac:dyDescent="0.25">
      <c r="A27" s="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</row>
    <row r="28" spans="1:91" x14ac:dyDescent="0.25">
      <c r="A28" s="1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</row>
    <row r="29" spans="1:91" x14ac:dyDescent="0.25">
      <c r="A29" s="1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</row>
    <row r="30" spans="1:91" x14ac:dyDescent="0.25">
      <c r="A30" s="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</row>
    <row r="31" spans="1:91" x14ac:dyDescent="0.25">
      <c r="A31" s="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</row>
    <row r="32" spans="1:91" x14ac:dyDescent="0.25">
      <c r="A32" s="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7"/>
      <c r="CF32" s="7"/>
      <c r="CG32" s="7"/>
      <c r="CH32" s="7"/>
      <c r="CI32" s="7"/>
      <c r="CJ32" s="7"/>
      <c r="CK32" s="7"/>
      <c r="CL32" s="7"/>
      <c r="CM32" s="4"/>
    </row>
    <row r="33" spans="1:91" x14ac:dyDescent="0.25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</row>
    <row r="34" spans="1:91" x14ac:dyDescent="0.25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</row>
    <row r="35" spans="1:91" x14ac:dyDescent="0.25">
      <c r="A35" s="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</row>
    <row r="36" spans="1:91" x14ac:dyDescent="0.25">
      <c r="A36" s="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</row>
    <row r="37" spans="1:91" x14ac:dyDescent="0.25">
      <c r="A37" s="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</row>
    <row r="38" spans="1:91" x14ac:dyDescent="0.25">
      <c r="A38" s="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</row>
    <row r="39" spans="1:91" x14ac:dyDescent="0.25">
      <c r="A39" s="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</row>
    <row r="40" spans="1:91" x14ac:dyDescent="0.25">
      <c r="A40" s="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</row>
    <row r="41" spans="1:91" x14ac:dyDescent="0.25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</row>
    <row r="42" spans="1:91" x14ac:dyDescent="0.25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</row>
    <row r="43" spans="1:91" x14ac:dyDescent="0.25">
      <c r="A43" s="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</row>
    <row r="44" spans="1:91" x14ac:dyDescent="0.25">
      <c r="A44" s="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</row>
    <row r="45" spans="1:91" x14ac:dyDescent="0.25">
      <c r="A45" s="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</row>
    <row r="46" spans="1:91" x14ac:dyDescent="0.25">
      <c r="A46" s="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</row>
    <row r="47" spans="1:91" x14ac:dyDescent="0.25">
      <c r="A47" s="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</row>
    <row r="48" spans="1:91" x14ac:dyDescent="0.25">
      <c r="A48" s="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</row>
    <row r="49" spans="1:91" x14ac:dyDescent="0.25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</row>
    <row r="50" spans="1:91" x14ac:dyDescent="0.25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</row>
    <row r="51" spans="1:91" x14ac:dyDescent="0.25">
      <c r="A51" s="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</row>
    <row r="52" spans="1:91" x14ac:dyDescent="0.25">
      <c r="A52" s="1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</row>
    <row r="53" spans="1:91" x14ac:dyDescent="0.25">
      <c r="A53" s="1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</row>
    <row r="54" spans="1:91" x14ac:dyDescent="0.25">
      <c r="A54" s="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</row>
    <row r="55" spans="1:91" x14ac:dyDescent="0.25">
      <c r="A55" s="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</row>
    <row r="56" spans="1:91" x14ac:dyDescent="0.25">
      <c r="A56" s="1"/>
      <c r="B56" s="7"/>
      <c r="C56" s="7"/>
      <c r="D56" s="7"/>
      <c r="E56" s="7"/>
      <c r="F56" s="7"/>
      <c r="G56" s="7"/>
      <c r="H56" s="7"/>
      <c r="I56" s="7"/>
      <c r="J56" s="7"/>
      <c r="K56" s="7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</row>
    <row r="57" spans="1:91" x14ac:dyDescent="0.25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</row>
    <row r="58" spans="1:91" x14ac:dyDescent="0.25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</row>
    <row r="59" spans="1:91" x14ac:dyDescent="0.25">
      <c r="A59" s="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</row>
    <row r="60" spans="1:91" x14ac:dyDescent="0.25">
      <c r="A60" s="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</row>
    <row r="61" spans="1:91" x14ac:dyDescent="0.25">
      <c r="A61" s="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</row>
    <row r="62" spans="1:91" x14ac:dyDescent="0.25">
      <c r="A62" s="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</row>
    <row r="63" spans="1:91" x14ac:dyDescent="0.25">
      <c r="A63" s="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</row>
    <row r="64" spans="1:91" x14ac:dyDescent="0.25">
      <c r="A64" s="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</row>
    <row r="65" spans="1:91" x14ac:dyDescent="0.25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</row>
    <row r="66" spans="1:91" x14ac:dyDescent="0.25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</row>
    <row r="67" spans="1:91" x14ac:dyDescent="0.25">
      <c r="A67" s="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</row>
    <row r="68" spans="1:91" x14ac:dyDescent="0.25">
      <c r="A68" s="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</row>
    <row r="69" spans="1:91" x14ac:dyDescent="0.25">
      <c r="A69" s="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</row>
    <row r="70" spans="1:91" x14ac:dyDescent="0.25">
      <c r="A70" s="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</row>
    <row r="71" spans="1:91" x14ac:dyDescent="0.25">
      <c r="A71" s="1"/>
      <c r="B71" s="8"/>
      <c r="C71" s="8"/>
      <c r="D71" s="8"/>
      <c r="E71" s="8"/>
      <c r="F71" s="8"/>
      <c r="G71" s="8"/>
      <c r="H71" s="8"/>
      <c r="I71" s="8"/>
      <c r="J71" s="10"/>
      <c r="K71" s="8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</row>
    <row r="72" spans="1:91" x14ac:dyDescent="0.25">
      <c r="A72" s="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</row>
    <row r="73" spans="1:91" x14ac:dyDescent="0.25">
      <c r="A73" s="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</row>
    <row r="74" spans="1:91" x14ac:dyDescent="0.25">
      <c r="A74" s="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</row>
    <row r="75" spans="1:91" x14ac:dyDescent="0.25">
      <c r="A75" s="2"/>
      <c r="B75" s="9"/>
      <c r="C75" s="9"/>
      <c r="D75" s="9"/>
      <c r="E75" s="9"/>
      <c r="F75" s="9"/>
      <c r="G75" s="9"/>
      <c r="H75" s="9"/>
      <c r="I75" s="9"/>
      <c r="J75" s="11"/>
      <c r="K75" s="9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</row>
    <row r="76" spans="1:91" x14ac:dyDescent="0.25">
      <c r="A76" s="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</row>
    <row r="77" spans="1:91" x14ac:dyDescent="0.25">
      <c r="A77" s="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</row>
    <row r="78" spans="1:91" x14ac:dyDescent="0.25">
      <c r="A78" s="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</row>
    <row r="79" spans="1:91" x14ac:dyDescent="0.25">
      <c r="A79" s="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</row>
    <row r="80" spans="1:9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</row>
    <row r="81" spans="1:91" x14ac:dyDescent="0.25">
      <c r="A81" s="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</row>
    <row r="82" spans="1:91" x14ac:dyDescent="0.25">
      <c r="A82" s="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</row>
  </sheetData>
  <conditionalFormatting sqref="A18:XFD18">
    <cfRule type="colorScale" priority="2">
      <colorScale>
        <cfvo type="min"/>
        <cfvo type="max"/>
        <color rgb="FFF6BED7"/>
        <color rgb="FFE12C2B"/>
      </colorScale>
    </cfRule>
  </conditionalFormatting>
  <conditionalFormatting sqref="A19:XFD19">
    <cfRule type="colorScale" priority="1">
      <colorScale>
        <cfvo type="min"/>
        <cfvo type="max"/>
        <color rgb="FFF6BED7"/>
        <color rgb="FFE12C2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12"/>
  <sheetViews>
    <sheetView workbookViewId="0">
      <selection activeCell="E34" sqref="E34"/>
    </sheetView>
  </sheetViews>
  <sheetFormatPr defaultColWidth="11" defaultRowHeight="15.75" x14ac:dyDescent="0.25"/>
  <cols>
    <col min="1" max="1" width="3.125" bestFit="1" customWidth="1"/>
    <col min="3" max="3" width="18.5" bestFit="1" customWidth="1"/>
  </cols>
  <sheetData>
    <row r="1" spans="1:23" x14ac:dyDescent="0.25">
      <c r="A1" s="3" t="s">
        <v>716</v>
      </c>
    </row>
    <row r="2" spans="1:23" x14ac:dyDescent="0.25">
      <c r="A2" s="36" t="s">
        <v>0</v>
      </c>
      <c r="B2" s="36" t="s">
        <v>712</v>
      </c>
      <c r="C2" s="15" t="s">
        <v>711</v>
      </c>
      <c r="D2" s="15" t="s">
        <v>235</v>
      </c>
      <c r="E2" s="15" t="s">
        <v>236</v>
      </c>
      <c r="F2" s="15" t="s">
        <v>237</v>
      </c>
      <c r="G2" s="15" t="s">
        <v>238</v>
      </c>
      <c r="H2" s="15" t="s">
        <v>239</v>
      </c>
      <c r="I2" s="15" t="s">
        <v>240</v>
      </c>
      <c r="J2" s="15" t="s">
        <v>241</v>
      </c>
      <c r="K2" s="15" t="s">
        <v>242</v>
      </c>
      <c r="L2" s="15" t="s">
        <v>243</v>
      </c>
      <c r="M2" s="15" t="s">
        <v>244</v>
      </c>
      <c r="N2" s="15" t="s">
        <v>245</v>
      </c>
      <c r="O2" s="15" t="s">
        <v>246</v>
      </c>
      <c r="P2" s="15" t="s">
        <v>247</v>
      </c>
      <c r="Q2" s="15" t="s">
        <v>248</v>
      </c>
      <c r="R2" s="15" t="s">
        <v>249</v>
      </c>
      <c r="S2" s="15" t="s">
        <v>250</v>
      </c>
      <c r="T2" s="15" t="s">
        <v>251</v>
      </c>
      <c r="U2" s="15" t="s">
        <v>252</v>
      </c>
      <c r="V2" s="15" t="s">
        <v>253</v>
      </c>
      <c r="W2" s="15" t="s">
        <v>254</v>
      </c>
    </row>
    <row r="3" spans="1:23" x14ac:dyDescent="0.25">
      <c r="A3" s="15">
        <v>1</v>
      </c>
      <c r="B3" s="15" t="s">
        <v>255</v>
      </c>
      <c r="C3" s="16" t="s">
        <v>217</v>
      </c>
      <c r="D3" s="16">
        <v>46</v>
      </c>
      <c r="E3" s="16" t="s">
        <v>219</v>
      </c>
      <c r="F3" s="16">
        <v>71</v>
      </c>
      <c r="G3" s="16">
        <v>161</v>
      </c>
      <c r="H3" s="16">
        <v>11</v>
      </c>
      <c r="I3" s="16">
        <v>15</v>
      </c>
      <c r="J3" s="16">
        <v>110</v>
      </c>
      <c r="K3" s="16">
        <v>12</v>
      </c>
      <c r="L3" s="16">
        <v>0.5</v>
      </c>
      <c r="M3" s="16">
        <v>38</v>
      </c>
      <c r="N3" s="16">
        <v>13.7</v>
      </c>
      <c r="O3" s="16">
        <v>90</v>
      </c>
      <c r="P3" s="16">
        <v>1.07</v>
      </c>
      <c r="Q3" s="16">
        <v>0.71</v>
      </c>
      <c r="R3" s="17">
        <v>215</v>
      </c>
      <c r="S3" s="16">
        <v>5.4</v>
      </c>
      <c r="T3" s="16" t="s">
        <v>256</v>
      </c>
      <c r="U3" s="16" t="s">
        <v>256</v>
      </c>
      <c r="V3" s="16">
        <v>130</v>
      </c>
      <c r="W3" s="16">
        <v>140</v>
      </c>
    </row>
    <row r="4" spans="1:23" x14ac:dyDescent="0.25">
      <c r="A4" s="15">
        <v>2</v>
      </c>
      <c r="B4" s="15" t="s">
        <v>257</v>
      </c>
      <c r="C4" s="16" t="s">
        <v>220</v>
      </c>
      <c r="D4" s="16">
        <v>50</v>
      </c>
      <c r="E4" s="16" t="s">
        <v>219</v>
      </c>
      <c r="F4" s="16">
        <v>52</v>
      </c>
      <c r="G4" s="16">
        <v>162</v>
      </c>
      <c r="H4" s="16">
        <v>11</v>
      </c>
      <c r="I4" s="16">
        <v>20</v>
      </c>
      <c r="J4" s="16">
        <v>72</v>
      </c>
      <c r="K4" s="16">
        <v>9</v>
      </c>
      <c r="L4" s="16">
        <v>0.6</v>
      </c>
      <c r="M4" s="16">
        <v>44</v>
      </c>
      <c r="N4" s="16">
        <v>13.7</v>
      </c>
      <c r="O4" s="16">
        <v>93</v>
      </c>
      <c r="P4" s="16">
        <v>1.05</v>
      </c>
      <c r="Q4" s="16">
        <v>0.94</v>
      </c>
      <c r="R4" s="17">
        <v>237</v>
      </c>
      <c r="S4" s="16">
        <v>4.8</v>
      </c>
      <c r="T4" s="16" t="s">
        <v>256</v>
      </c>
      <c r="U4" s="16" t="s">
        <v>256</v>
      </c>
      <c r="V4" s="16">
        <v>118</v>
      </c>
      <c r="W4" s="16">
        <v>143</v>
      </c>
    </row>
    <row r="5" spans="1:23" x14ac:dyDescent="0.25">
      <c r="A5" s="15">
        <v>3</v>
      </c>
      <c r="B5" s="15" t="s">
        <v>258</v>
      </c>
      <c r="C5" s="16" t="s">
        <v>221</v>
      </c>
      <c r="D5" s="16">
        <v>34</v>
      </c>
      <c r="E5" s="16" t="s">
        <v>222</v>
      </c>
      <c r="F5" s="16">
        <v>74</v>
      </c>
      <c r="G5" s="16">
        <v>172</v>
      </c>
      <c r="H5" s="16">
        <v>24</v>
      </c>
      <c r="I5" s="16">
        <v>21</v>
      </c>
      <c r="J5" s="16">
        <v>133</v>
      </c>
      <c r="K5" s="16">
        <v>15</v>
      </c>
      <c r="L5" s="16">
        <v>0.7</v>
      </c>
      <c r="M5" s="16">
        <v>46</v>
      </c>
      <c r="N5" s="16">
        <v>11.5</v>
      </c>
      <c r="O5" s="16">
        <v>92.2</v>
      </c>
      <c r="P5" s="16">
        <v>1.02</v>
      </c>
      <c r="Q5" s="16">
        <v>0.81</v>
      </c>
      <c r="R5" s="17">
        <v>237</v>
      </c>
      <c r="S5" s="16">
        <v>7.3</v>
      </c>
      <c r="T5" s="16" t="s">
        <v>256</v>
      </c>
      <c r="U5" s="16" t="s">
        <v>256</v>
      </c>
      <c r="V5" s="16">
        <v>140</v>
      </c>
      <c r="W5" s="16">
        <v>140</v>
      </c>
    </row>
    <row r="6" spans="1:23" x14ac:dyDescent="0.25">
      <c r="A6" s="15">
        <v>4</v>
      </c>
      <c r="B6" s="15" t="s">
        <v>259</v>
      </c>
      <c r="C6" s="16" t="s">
        <v>223</v>
      </c>
      <c r="D6" s="16">
        <v>29</v>
      </c>
      <c r="E6" s="16" t="s">
        <v>222</v>
      </c>
      <c r="F6" s="16">
        <v>95</v>
      </c>
      <c r="G6" s="16">
        <v>175</v>
      </c>
      <c r="H6" s="16">
        <v>33</v>
      </c>
      <c r="I6" s="16">
        <v>25</v>
      </c>
      <c r="J6" s="16">
        <v>95</v>
      </c>
      <c r="K6" s="16">
        <v>21</v>
      </c>
      <c r="L6" s="16">
        <v>0.5</v>
      </c>
      <c r="M6" s="16">
        <v>46</v>
      </c>
      <c r="N6" s="16">
        <v>12</v>
      </c>
      <c r="O6" s="16">
        <v>100</v>
      </c>
      <c r="P6" s="16">
        <v>0.89</v>
      </c>
      <c r="Q6" s="16">
        <v>0.87</v>
      </c>
      <c r="R6" s="17">
        <v>198</v>
      </c>
      <c r="S6" s="16">
        <v>6.92</v>
      </c>
      <c r="T6" s="16" t="s">
        <v>256</v>
      </c>
      <c r="U6" s="16" t="s">
        <v>256</v>
      </c>
      <c r="V6" s="16">
        <v>151</v>
      </c>
      <c r="W6" s="16">
        <v>145</v>
      </c>
    </row>
    <row r="7" spans="1:23" x14ac:dyDescent="0.25">
      <c r="A7" s="15">
        <v>5</v>
      </c>
      <c r="B7" s="15" t="s">
        <v>260</v>
      </c>
      <c r="C7" s="16" t="s">
        <v>224</v>
      </c>
      <c r="D7" s="16">
        <v>28</v>
      </c>
      <c r="E7" s="16" t="s">
        <v>222</v>
      </c>
      <c r="F7" s="16">
        <v>86.8</v>
      </c>
      <c r="G7" s="16">
        <v>175</v>
      </c>
      <c r="H7" s="16">
        <v>26</v>
      </c>
      <c r="I7" s="16">
        <v>19</v>
      </c>
      <c r="J7" s="16">
        <v>190</v>
      </c>
      <c r="K7" s="16">
        <v>14</v>
      </c>
      <c r="L7" s="16">
        <v>0.4</v>
      </c>
      <c r="M7" s="16">
        <v>46</v>
      </c>
      <c r="N7" s="16">
        <v>13.2</v>
      </c>
      <c r="O7" s="16">
        <v>99</v>
      </c>
      <c r="P7" s="16">
        <v>0.98599999999999999</v>
      </c>
      <c r="Q7" s="16">
        <v>0.89</v>
      </c>
      <c r="R7" s="17">
        <v>242</v>
      </c>
      <c r="S7" s="16">
        <v>5</v>
      </c>
      <c r="T7" s="16" t="s">
        <v>256</v>
      </c>
      <c r="U7" s="16" t="s">
        <v>256</v>
      </c>
      <c r="V7" s="16">
        <v>154</v>
      </c>
      <c r="W7" s="16">
        <v>140</v>
      </c>
    </row>
    <row r="8" spans="1:23" x14ac:dyDescent="0.25">
      <c r="A8" s="15">
        <v>6</v>
      </c>
      <c r="B8" s="15" t="s">
        <v>225</v>
      </c>
      <c r="C8" s="16" t="s">
        <v>226</v>
      </c>
      <c r="D8" s="16">
        <v>30</v>
      </c>
      <c r="E8" s="16" t="s">
        <v>222</v>
      </c>
      <c r="F8" s="16">
        <v>80</v>
      </c>
      <c r="G8" s="16">
        <v>159</v>
      </c>
      <c r="H8" s="16">
        <v>50</v>
      </c>
      <c r="I8" s="16">
        <v>28</v>
      </c>
      <c r="J8" s="16">
        <v>193</v>
      </c>
      <c r="K8" s="16">
        <v>27</v>
      </c>
      <c r="L8" s="16">
        <v>0.6</v>
      </c>
      <c r="M8" s="16">
        <v>45</v>
      </c>
      <c r="N8" s="16">
        <v>13.4</v>
      </c>
      <c r="O8" s="16">
        <v>94</v>
      </c>
      <c r="P8" s="16">
        <v>1.04</v>
      </c>
      <c r="Q8" s="16">
        <v>0.99</v>
      </c>
      <c r="R8" s="17">
        <v>177</v>
      </c>
      <c r="S8" s="16">
        <v>5.76</v>
      </c>
      <c r="T8" s="16" t="s">
        <v>256</v>
      </c>
      <c r="U8" s="16" t="s">
        <v>256</v>
      </c>
      <c r="V8" s="16">
        <v>162</v>
      </c>
      <c r="W8" s="16">
        <v>141</v>
      </c>
    </row>
    <row r="9" spans="1:23" x14ac:dyDescent="0.25">
      <c r="A9" s="15">
        <v>7</v>
      </c>
      <c r="B9" s="15" t="s">
        <v>227</v>
      </c>
      <c r="C9" s="16" t="s">
        <v>228</v>
      </c>
      <c r="D9" s="16">
        <v>53</v>
      </c>
      <c r="E9" s="16" t="s">
        <v>222</v>
      </c>
      <c r="F9" s="16">
        <v>78</v>
      </c>
      <c r="G9" s="16">
        <v>174</v>
      </c>
      <c r="H9" s="16">
        <v>38</v>
      </c>
      <c r="I9" s="16">
        <v>28</v>
      </c>
      <c r="J9" s="16">
        <v>120</v>
      </c>
      <c r="K9" s="16">
        <v>27</v>
      </c>
      <c r="L9" s="16">
        <v>0.6</v>
      </c>
      <c r="M9" s="16">
        <v>46</v>
      </c>
      <c r="N9" s="16">
        <v>12.9</v>
      </c>
      <c r="O9" s="16">
        <v>100</v>
      </c>
      <c r="P9" s="16">
        <v>0.99</v>
      </c>
      <c r="Q9" s="16">
        <v>0.75</v>
      </c>
      <c r="R9" s="17">
        <v>346</v>
      </c>
      <c r="S9" s="16">
        <v>9.4</v>
      </c>
      <c r="T9" s="16" t="s">
        <v>256</v>
      </c>
      <c r="U9" s="16" t="s">
        <v>256</v>
      </c>
      <c r="V9" s="16">
        <v>144</v>
      </c>
      <c r="W9" s="16">
        <v>141</v>
      </c>
    </row>
    <row r="10" spans="1:23" x14ac:dyDescent="0.25">
      <c r="A10" s="15">
        <v>8</v>
      </c>
      <c r="B10" s="15" t="s">
        <v>229</v>
      </c>
      <c r="C10" s="16" t="s">
        <v>230</v>
      </c>
      <c r="D10" s="16">
        <v>22</v>
      </c>
      <c r="E10" s="16" t="s">
        <v>222</v>
      </c>
      <c r="F10" s="16"/>
      <c r="G10" s="16"/>
      <c r="H10" s="16">
        <v>26</v>
      </c>
      <c r="I10" s="16">
        <v>22</v>
      </c>
      <c r="J10" s="16">
        <v>169</v>
      </c>
      <c r="K10" s="16">
        <v>14</v>
      </c>
      <c r="L10" s="16">
        <v>0.8</v>
      </c>
      <c r="M10" s="16">
        <v>50</v>
      </c>
      <c r="N10" s="16">
        <v>13.8</v>
      </c>
      <c r="O10" s="16">
        <v>90</v>
      </c>
      <c r="P10" s="16">
        <v>1.07</v>
      </c>
      <c r="Q10" s="16">
        <v>0.65</v>
      </c>
      <c r="R10" s="17">
        <v>301</v>
      </c>
      <c r="S10" s="16">
        <v>5.7</v>
      </c>
      <c r="T10" s="16" t="s">
        <v>256</v>
      </c>
      <c r="U10" s="16" t="s">
        <v>256</v>
      </c>
      <c r="V10" s="16">
        <v>148</v>
      </c>
      <c r="W10" s="16">
        <v>139</v>
      </c>
    </row>
    <row r="11" spans="1:23" x14ac:dyDescent="0.25">
      <c r="A11" s="15">
        <v>9</v>
      </c>
      <c r="B11" s="15" t="s">
        <v>231</v>
      </c>
      <c r="C11" s="16" t="s">
        <v>232</v>
      </c>
      <c r="D11" s="16">
        <v>29</v>
      </c>
      <c r="E11" s="16" t="s">
        <v>222</v>
      </c>
      <c r="F11" s="16"/>
      <c r="G11" s="16"/>
      <c r="H11" s="16">
        <v>19</v>
      </c>
      <c r="I11" s="16">
        <v>26</v>
      </c>
      <c r="J11" s="16">
        <v>161</v>
      </c>
      <c r="K11" s="16">
        <v>19</v>
      </c>
      <c r="L11" s="16">
        <v>0.7</v>
      </c>
      <c r="M11" s="16">
        <v>46</v>
      </c>
      <c r="N11" s="16">
        <v>13.5</v>
      </c>
      <c r="O11" s="16">
        <v>96</v>
      </c>
      <c r="P11" s="16">
        <v>1.03</v>
      </c>
      <c r="Q11" s="16">
        <v>0.89</v>
      </c>
      <c r="R11" s="17">
        <v>276</v>
      </c>
      <c r="S11" s="16">
        <v>5.16</v>
      </c>
      <c r="T11" s="16" t="s">
        <v>256</v>
      </c>
      <c r="U11" s="16" t="s">
        <v>256</v>
      </c>
      <c r="V11" s="16">
        <v>156</v>
      </c>
      <c r="W11" s="16">
        <v>138</v>
      </c>
    </row>
    <row r="12" spans="1:23" x14ac:dyDescent="0.25">
      <c r="A12" s="15">
        <v>10</v>
      </c>
      <c r="B12" s="15" t="s">
        <v>233</v>
      </c>
      <c r="C12" s="16" t="s">
        <v>234</v>
      </c>
      <c r="D12" s="16">
        <v>54</v>
      </c>
      <c r="E12" s="16" t="s">
        <v>219</v>
      </c>
      <c r="F12" s="16"/>
      <c r="G12" s="16"/>
      <c r="H12" s="16">
        <v>16</v>
      </c>
      <c r="I12" s="16">
        <v>18</v>
      </c>
      <c r="J12" s="16">
        <v>210</v>
      </c>
      <c r="K12" s="16">
        <v>24</v>
      </c>
      <c r="L12" s="16">
        <v>0.5</v>
      </c>
      <c r="M12" s="16">
        <v>41</v>
      </c>
      <c r="N12" s="16">
        <v>12.9</v>
      </c>
      <c r="O12" s="16">
        <v>100</v>
      </c>
      <c r="P12" s="16">
        <v>0.99</v>
      </c>
      <c r="Q12" s="16">
        <v>0.77</v>
      </c>
      <c r="R12" s="17">
        <v>223</v>
      </c>
      <c r="S12" s="16">
        <v>7.1</v>
      </c>
      <c r="T12" s="16" t="s">
        <v>256</v>
      </c>
      <c r="U12" s="16" t="s">
        <v>256</v>
      </c>
      <c r="V12" s="16">
        <v>128</v>
      </c>
      <c r="W12" s="16">
        <v>137</v>
      </c>
    </row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58"/>
  <sheetViews>
    <sheetView workbookViewId="0">
      <selection activeCell="N2" sqref="N2"/>
    </sheetView>
  </sheetViews>
  <sheetFormatPr defaultColWidth="11" defaultRowHeight="15.75" x14ac:dyDescent="0.25"/>
  <cols>
    <col min="1" max="1" width="3.125" bestFit="1" customWidth="1"/>
    <col min="2" max="2" width="11.5" customWidth="1"/>
  </cols>
  <sheetData>
    <row r="1" spans="1:36" x14ac:dyDescent="0.25">
      <c r="A1" s="3" t="s">
        <v>715</v>
      </c>
    </row>
    <row r="2" spans="1:36" s="3" customFormat="1" x14ac:dyDescent="0.25">
      <c r="A2" s="36" t="s">
        <v>0</v>
      </c>
      <c r="B2" s="15" t="s">
        <v>711</v>
      </c>
      <c r="C2" s="33" t="s">
        <v>236</v>
      </c>
      <c r="D2" s="33" t="s">
        <v>3</v>
      </c>
      <c r="E2" s="33" t="s">
        <v>318</v>
      </c>
      <c r="F2" s="33" t="s">
        <v>317</v>
      </c>
      <c r="G2" s="33" t="s">
        <v>27</v>
      </c>
      <c r="H2" s="33" t="s">
        <v>28</v>
      </c>
      <c r="I2" s="33" t="s">
        <v>29</v>
      </c>
      <c r="J2" s="33" t="s">
        <v>316</v>
      </c>
      <c r="K2" s="15" t="s">
        <v>315</v>
      </c>
      <c r="L2" s="33" t="s">
        <v>314</v>
      </c>
      <c r="M2" s="15" t="s">
        <v>313</v>
      </c>
      <c r="N2" s="15" t="s">
        <v>312</v>
      </c>
      <c r="O2" s="15" t="s">
        <v>15</v>
      </c>
      <c r="P2" s="15" t="s">
        <v>311</v>
      </c>
      <c r="Q2" s="33" t="s">
        <v>310</v>
      </c>
      <c r="R2" s="15" t="s">
        <v>309</v>
      </c>
      <c r="S2" s="32" t="s">
        <v>31</v>
      </c>
      <c r="T2" s="32" t="s">
        <v>32</v>
      </c>
      <c r="U2" s="32" t="s">
        <v>308</v>
      </c>
      <c r="V2" s="15" t="s">
        <v>307</v>
      </c>
      <c r="W2" s="15" t="s">
        <v>306</v>
      </c>
      <c r="X2" s="15" t="s">
        <v>305</v>
      </c>
      <c r="Y2" s="32" t="s">
        <v>247</v>
      </c>
      <c r="Z2" s="32" t="s">
        <v>304</v>
      </c>
      <c r="AA2" s="15" t="s">
        <v>34</v>
      </c>
      <c r="AB2" s="15" t="s">
        <v>36</v>
      </c>
      <c r="AC2" s="15" t="s">
        <v>37</v>
      </c>
      <c r="AD2" s="15" t="s">
        <v>38</v>
      </c>
      <c r="AE2" s="15" t="s">
        <v>39</v>
      </c>
      <c r="AF2" s="15" t="s">
        <v>40</v>
      </c>
      <c r="AG2" s="15" t="s">
        <v>41</v>
      </c>
      <c r="AH2" s="15" t="s">
        <v>42</v>
      </c>
      <c r="AI2" s="15" t="s">
        <v>43</v>
      </c>
      <c r="AJ2" s="15" t="s">
        <v>44</v>
      </c>
    </row>
    <row r="3" spans="1:36" x14ac:dyDescent="0.25">
      <c r="A3" s="16">
        <v>1</v>
      </c>
      <c r="B3" s="22" t="s">
        <v>303</v>
      </c>
      <c r="C3" s="30">
        <v>0</v>
      </c>
      <c r="D3" s="23">
        <v>58</v>
      </c>
      <c r="E3" s="26">
        <v>81.8</v>
      </c>
      <c r="F3" s="22">
        <v>183</v>
      </c>
      <c r="G3" s="25">
        <v>24.42593090268446</v>
      </c>
      <c r="H3" s="31">
        <v>180</v>
      </c>
      <c r="I3" s="31">
        <v>90</v>
      </c>
      <c r="J3" s="22">
        <v>205</v>
      </c>
      <c r="K3" s="22">
        <v>0.6</v>
      </c>
      <c r="L3" s="22">
        <v>140</v>
      </c>
      <c r="M3" s="22">
        <v>102</v>
      </c>
      <c r="N3" s="22">
        <v>64</v>
      </c>
      <c r="O3" s="22">
        <v>197</v>
      </c>
      <c r="P3" s="22">
        <v>1</v>
      </c>
      <c r="Q3" s="22">
        <v>105</v>
      </c>
      <c r="R3" s="22">
        <v>5.26</v>
      </c>
      <c r="S3" s="22">
        <v>245</v>
      </c>
      <c r="T3" s="22">
        <v>38</v>
      </c>
      <c r="U3" s="22">
        <v>4.7</v>
      </c>
      <c r="V3" s="22">
        <v>14.8</v>
      </c>
      <c r="W3" s="22">
        <v>43</v>
      </c>
      <c r="X3" s="22">
        <v>84</v>
      </c>
      <c r="Y3" s="22">
        <v>0.99</v>
      </c>
      <c r="Z3" s="30">
        <v>2.2999999999999998</v>
      </c>
      <c r="AA3" s="22">
        <v>2</v>
      </c>
      <c r="AB3" s="29">
        <v>1</v>
      </c>
      <c r="AC3" s="28">
        <v>1</v>
      </c>
      <c r="AD3" s="28">
        <v>3</v>
      </c>
      <c r="AE3" s="28">
        <v>1</v>
      </c>
      <c r="AF3" s="28">
        <v>0</v>
      </c>
      <c r="AG3" s="28">
        <v>1</v>
      </c>
      <c r="AH3" s="28">
        <v>1</v>
      </c>
      <c r="AI3" s="28">
        <v>1</v>
      </c>
      <c r="AJ3" s="28">
        <v>1</v>
      </c>
    </row>
    <row r="4" spans="1:36" x14ac:dyDescent="0.25">
      <c r="A4" s="16">
        <v>2</v>
      </c>
      <c r="B4" s="22" t="s">
        <v>302</v>
      </c>
      <c r="C4" s="30">
        <v>0</v>
      </c>
      <c r="D4" s="23">
        <v>49</v>
      </c>
      <c r="E4" s="26">
        <v>110</v>
      </c>
      <c r="F4" s="22">
        <v>178</v>
      </c>
      <c r="G4" s="25">
        <v>34.71783865673526</v>
      </c>
      <c r="H4" s="31"/>
      <c r="I4" s="31"/>
      <c r="J4" s="22">
        <v>107</v>
      </c>
      <c r="K4" s="22">
        <v>0.7</v>
      </c>
      <c r="L4" s="22">
        <v>136</v>
      </c>
      <c r="M4" s="22">
        <v>54</v>
      </c>
      <c r="N4" s="22">
        <v>51</v>
      </c>
      <c r="O4" s="22">
        <v>650</v>
      </c>
      <c r="P4" s="22">
        <v>0.4</v>
      </c>
      <c r="Q4" s="22">
        <v>91</v>
      </c>
      <c r="R4" s="22"/>
      <c r="S4" s="22">
        <v>264</v>
      </c>
      <c r="T4" s="22">
        <v>579</v>
      </c>
      <c r="U4" s="22">
        <v>5</v>
      </c>
      <c r="V4" s="22">
        <v>13.3</v>
      </c>
      <c r="W4" s="22">
        <v>38</v>
      </c>
      <c r="X4" s="22">
        <v>236</v>
      </c>
      <c r="Y4" s="22">
        <v>0.95</v>
      </c>
      <c r="Z4" s="30">
        <v>1.5</v>
      </c>
      <c r="AA4" s="22">
        <v>2</v>
      </c>
      <c r="AB4" s="29">
        <v>1</v>
      </c>
      <c r="AC4" s="28">
        <v>1</v>
      </c>
      <c r="AD4" s="28">
        <v>1</v>
      </c>
      <c r="AE4" s="28">
        <v>1</v>
      </c>
      <c r="AF4" s="28">
        <v>0</v>
      </c>
      <c r="AG4" s="28">
        <v>1</v>
      </c>
      <c r="AH4" s="28">
        <v>0</v>
      </c>
      <c r="AI4" s="28">
        <v>1</v>
      </c>
      <c r="AJ4" s="28">
        <v>1</v>
      </c>
    </row>
    <row r="5" spans="1:36" x14ac:dyDescent="0.25">
      <c r="A5" s="16">
        <v>3</v>
      </c>
      <c r="B5" s="22" t="s">
        <v>301</v>
      </c>
      <c r="C5" s="30">
        <v>0</v>
      </c>
      <c r="D5" s="23">
        <v>39</v>
      </c>
      <c r="E5" s="26">
        <v>78</v>
      </c>
      <c r="F5" s="22">
        <v>178</v>
      </c>
      <c r="G5" s="25">
        <v>24.618103774775911</v>
      </c>
      <c r="H5" s="31">
        <v>140</v>
      </c>
      <c r="I5" s="31">
        <v>80</v>
      </c>
      <c r="J5" s="22">
        <v>109</v>
      </c>
      <c r="K5" s="22">
        <v>0.6</v>
      </c>
      <c r="L5" s="22">
        <v>140</v>
      </c>
      <c r="M5" s="22">
        <v>136</v>
      </c>
      <c r="N5" s="22">
        <v>92</v>
      </c>
      <c r="O5" s="22">
        <v>1268</v>
      </c>
      <c r="P5" s="22">
        <v>0.7</v>
      </c>
      <c r="Q5" s="22">
        <v>154</v>
      </c>
      <c r="R5" s="22"/>
      <c r="S5" s="22"/>
      <c r="T5" s="22"/>
      <c r="U5" s="22">
        <v>7.4</v>
      </c>
      <c r="V5" s="22">
        <v>16.8</v>
      </c>
      <c r="W5" s="22">
        <v>47</v>
      </c>
      <c r="X5" s="22">
        <v>116</v>
      </c>
      <c r="Y5" s="22">
        <v>0.81</v>
      </c>
      <c r="Z5" s="30">
        <v>2.2000000000000002</v>
      </c>
      <c r="AA5" s="22">
        <v>2</v>
      </c>
      <c r="AB5" s="29">
        <v>2</v>
      </c>
      <c r="AC5" s="28">
        <v>1</v>
      </c>
      <c r="AD5" s="28">
        <v>2</v>
      </c>
      <c r="AE5" s="28">
        <v>1</v>
      </c>
      <c r="AF5" s="28">
        <v>0</v>
      </c>
      <c r="AG5" s="28">
        <v>1</v>
      </c>
      <c r="AH5" s="28">
        <v>0</v>
      </c>
      <c r="AI5" s="28">
        <v>1</v>
      </c>
      <c r="AJ5" s="28">
        <v>2</v>
      </c>
    </row>
    <row r="6" spans="1:36" x14ac:dyDescent="0.25">
      <c r="A6" s="16">
        <v>4</v>
      </c>
      <c r="B6" s="22" t="s">
        <v>300</v>
      </c>
      <c r="C6" s="23">
        <v>1</v>
      </c>
      <c r="D6" s="23">
        <v>55</v>
      </c>
      <c r="E6" s="24">
        <v>83</v>
      </c>
      <c r="F6" s="23">
        <v>183</v>
      </c>
      <c r="G6" s="27">
        <v>24.784255981445313</v>
      </c>
      <c r="H6" s="22">
        <v>140</v>
      </c>
      <c r="I6" s="22">
        <v>80</v>
      </c>
      <c r="J6" s="22">
        <v>90</v>
      </c>
      <c r="K6" s="25">
        <v>0.8399999737739563</v>
      </c>
      <c r="L6" s="22">
        <v>139</v>
      </c>
      <c r="M6" s="22">
        <v>72</v>
      </c>
      <c r="N6" s="22">
        <v>92</v>
      </c>
      <c r="O6" s="22">
        <v>212</v>
      </c>
      <c r="P6" s="26">
        <v>1.2999999523162842</v>
      </c>
      <c r="Q6" s="22">
        <v>49</v>
      </c>
      <c r="R6" s="26">
        <v>4.3000001907348633</v>
      </c>
      <c r="S6" s="23">
        <v>209</v>
      </c>
      <c r="T6" s="23">
        <v>67</v>
      </c>
      <c r="U6" s="24">
        <v>4.570000171661377</v>
      </c>
      <c r="V6" s="26">
        <v>15.899999618530273</v>
      </c>
      <c r="W6" s="22">
        <v>46</v>
      </c>
      <c r="X6" s="22">
        <v>137</v>
      </c>
      <c r="Y6" s="25">
        <v>0.97000002861022949</v>
      </c>
      <c r="Z6" s="24">
        <v>1.8999999761581421</v>
      </c>
      <c r="AA6" s="22">
        <v>0</v>
      </c>
      <c r="AB6" s="23">
        <v>2</v>
      </c>
      <c r="AC6" s="22">
        <v>1</v>
      </c>
      <c r="AD6" s="22">
        <v>3</v>
      </c>
      <c r="AE6" s="22">
        <v>0</v>
      </c>
      <c r="AF6" s="22">
        <v>0</v>
      </c>
      <c r="AG6" s="23">
        <v>0</v>
      </c>
      <c r="AH6" s="22">
        <v>0</v>
      </c>
      <c r="AI6" s="22">
        <v>0</v>
      </c>
      <c r="AJ6" s="22">
        <v>1</v>
      </c>
    </row>
    <row r="7" spans="1:36" x14ac:dyDescent="0.25">
      <c r="A7" s="16">
        <v>5</v>
      </c>
      <c r="B7" s="22" t="s">
        <v>299</v>
      </c>
      <c r="C7" s="23">
        <v>1</v>
      </c>
      <c r="D7" s="23">
        <v>47</v>
      </c>
      <c r="E7" s="24">
        <v>96.5</v>
      </c>
      <c r="F7" s="23">
        <v>180</v>
      </c>
      <c r="G7" s="27">
        <v>29.783952713012695</v>
      </c>
      <c r="H7" s="22">
        <v>110</v>
      </c>
      <c r="I7" s="22">
        <v>70</v>
      </c>
      <c r="J7" s="22">
        <v>98</v>
      </c>
      <c r="K7" s="25">
        <v>1.1599999666213989</v>
      </c>
      <c r="L7" s="22">
        <v>136</v>
      </c>
      <c r="M7" s="22">
        <v>67</v>
      </c>
      <c r="N7" s="22">
        <v>61</v>
      </c>
      <c r="O7" s="22">
        <v>335</v>
      </c>
      <c r="P7" s="26">
        <v>1.5</v>
      </c>
      <c r="Q7" s="22">
        <v>52</v>
      </c>
      <c r="R7" s="26">
        <v>4</v>
      </c>
      <c r="S7" s="23">
        <v>240</v>
      </c>
      <c r="T7" s="23">
        <v>851</v>
      </c>
      <c r="U7" s="24">
        <v>6.690000057220459</v>
      </c>
      <c r="V7" s="26">
        <v>17.100000381469727</v>
      </c>
      <c r="W7" s="22">
        <v>48</v>
      </c>
      <c r="X7" s="22">
        <v>166</v>
      </c>
      <c r="Y7" s="25">
        <v>1.0299999713897705</v>
      </c>
      <c r="Z7" s="24">
        <v>2.4000000953674316</v>
      </c>
      <c r="AA7" s="22">
        <v>1</v>
      </c>
      <c r="AB7" s="23">
        <v>2</v>
      </c>
      <c r="AC7" s="22">
        <v>1</v>
      </c>
      <c r="AD7" s="22">
        <v>2</v>
      </c>
      <c r="AE7" s="22">
        <v>0</v>
      </c>
      <c r="AF7" s="22">
        <v>0</v>
      </c>
      <c r="AG7" s="23">
        <v>0</v>
      </c>
      <c r="AH7" s="22">
        <v>1</v>
      </c>
      <c r="AI7" s="22">
        <v>0</v>
      </c>
      <c r="AJ7" s="22">
        <v>1</v>
      </c>
    </row>
    <row r="8" spans="1:36" x14ac:dyDescent="0.25">
      <c r="A8" s="16">
        <v>6</v>
      </c>
      <c r="B8" s="22" t="s">
        <v>298</v>
      </c>
      <c r="C8" s="23">
        <v>0</v>
      </c>
      <c r="D8" s="23">
        <v>48</v>
      </c>
      <c r="E8" s="24">
        <v>50.900001525878906</v>
      </c>
      <c r="F8" s="23">
        <v>165</v>
      </c>
      <c r="G8" s="27">
        <v>18.696052551269531</v>
      </c>
      <c r="H8" s="22">
        <v>140</v>
      </c>
      <c r="I8" s="22">
        <v>75</v>
      </c>
      <c r="J8" s="22">
        <v>87</v>
      </c>
      <c r="K8" s="25">
        <v>0.55000001192092896</v>
      </c>
      <c r="L8" s="22">
        <v>138</v>
      </c>
      <c r="M8" s="22">
        <v>161</v>
      </c>
      <c r="N8" s="22">
        <v>89</v>
      </c>
      <c r="O8" s="22">
        <v>748</v>
      </c>
      <c r="P8" s="26">
        <v>1.7000000476837158</v>
      </c>
      <c r="Q8" s="22">
        <v>166</v>
      </c>
      <c r="R8" s="26">
        <v>4.0999999046325684</v>
      </c>
      <c r="S8" s="23">
        <v>189</v>
      </c>
      <c r="T8" s="23">
        <v>63</v>
      </c>
      <c r="U8" s="24">
        <v>6.1599998474121094</v>
      </c>
      <c r="V8" s="26">
        <v>12.899999618530273</v>
      </c>
      <c r="W8" s="22">
        <v>38</v>
      </c>
      <c r="X8" s="22">
        <v>251</v>
      </c>
      <c r="Y8" s="25">
        <v>1.0099999904632568</v>
      </c>
      <c r="Z8" s="24">
        <v>2.7000000476837158</v>
      </c>
      <c r="AA8" s="22">
        <v>1</v>
      </c>
      <c r="AB8" s="23">
        <v>1</v>
      </c>
      <c r="AC8" s="22">
        <v>1</v>
      </c>
      <c r="AD8" s="22">
        <v>3</v>
      </c>
      <c r="AE8" s="22">
        <v>1</v>
      </c>
      <c r="AF8" s="22">
        <v>0</v>
      </c>
      <c r="AG8" s="23">
        <v>1</v>
      </c>
      <c r="AH8" s="22">
        <v>1</v>
      </c>
      <c r="AI8" s="22">
        <v>1</v>
      </c>
      <c r="AJ8" s="22">
        <v>1</v>
      </c>
    </row>
    <row r="9" spans="1:36" x14ac:dyDescent="0.25">
      <c r="A9" s="16">
        <v>7</v>
      </c>
      <c r="B9" s="22" t="s">
        <v>297</v>
      </c>
      <c r="C9" s="23">
        <v>0</v>
      </c>
      <c r="D9" s="23">
        <v>60</v>
      </c>
      <c r="E9" s="24">
        <v>69</v>
      </c>
      <c r="F9" s="23">
        <v>167</v>
      </c>
      <c r="G9" s="27">
        <v>24.740938186645508</v>
      </c>
      <c r="H9" s="22">
        <v>140</v>
      </c>
      <c r="I9" s="22">
        <v>68</v>
      </c>
      <c r="J9" s="22">
        <v>81</v>
      </c>
      <c r="K9" s="25">
        <v>0.56999999284744263</v>
      </c>
      <c r="L9" s="22">
        <v>140</v>
      </c>
      <c r="M9" s="22">
        <v>63</v>
      </c>
      <c r="N9" s="22">
        <v>48</v>
      </c>
      <c r="O9" s="22">
        <v>111</v>
      </c>
      <c r="P9" s="26">
        <v>0.40000000596046448</v>
      </c>
      <c r="Q9" s="22">
        <v>58</v>
      </c>
      <c r="R9" s="26">
        <v>4.6999998092651367</v>
      </c>
      <c r="S9" s="23">
        <v>270</v>
      </c>
      <c r="T9" s="23">
        <v>228</v>
      </c>
      <c r="U9" s="24">
        <v>5.5</v>
      </c>
      <c r="V9" s="26">
        <v>14</v>
      </c>
      <c r="W9" s="22">
        <v>40</v>
      </c>
      <c r="X9" s="22">
        <v>215</v>
      </c>
      <c r="Y9" s="25">
        <v>1.0199999809265137</v>
      </c>
      <c r="Z9" s="24">
        <v>3.5999999046325684</v>
      </c>
      <c r="AA9" s="22">
        <v>0</v>
      </c>
      <c r="AB9" s="23">
        <v>1</v>
      </c>
      <c r="AC9" s="22">
        <v>1</v>
      </c>
      <c r="AD9" s="22">
        <v>1</v>
      </c>
      <c r="AE9" s="22">
        <v>0</v>
      </c>
      <c r="AF9" s="22">
        <v>0</v>
      </c>
      <c r="AG9" s="23">
        <v>0</v>
      </c>
      <c r="AH9" s="22">
        <v>0</v>
      </c>
      <c r="AI9" s="22">
        <v>0</v>
      </c>
      <c r="AJ9" s="22">
        <v>1</v>
      </c>
    </row>
    <row r="10" spans="1:36" x14ac:dyDescent="0.25">
      <c r="A10" s="16">
        <v>8</v>
      </c>
      <c r="B10" s="22" t="s">
        <v>296</v>
      </c>
      <c r="C10" s="23">
        <v>0</v>
      </c>
      <c r="D10" s="23">
        <v>56</v>
      </c>
      <c r="E10" s="24">
        <v>67</v>
      </c>
      <c r="F10" s="23">
        <v>161</v>
      </c>
      <c r="G10" s="27">
        <v>25.847766876220703</v>
      </c>
      <c r="H10" s="22">
        <v>135</v>
      </c>
      <c r="I10" s="22">
        <v>75</v>
      </c>
      <c r="J10" s="22">
        <v>90</v>
      </c>
      <c r="K10" s="25">
        <v>0.60000002384185791</v>
      </c>
      <c r="L10" s="22">
        <v>141</v>
      </c>
      <c r="M10" s="22">
        <v>52</v>
      </c>
      <c r="N10" s="22">
        <v>33</v>
      </c>
      <c r="O10" s="22">
        <v>173</v>
      </c>
      <c r="P10" s="26">
        <v>1.2000000476837158</v>
      </c>
      <c r="Q10" s="22">
        <v>74</v>
      </c>
      <c r="R10" s="26">
        <v>4.1999998092651367</v>
      </c>
      <c r="S10" s="23">
        <v>130</v>
      </c>
      <c r="T10" s="23">
        <v>82</v>
      </c>
      <c r="U10" s="24">
        <v>4.570000171661377</v>
      </c>
      <c r="V10" s="26">
        <v>13.800000190734863</v>
      </c>
      <c r="W10" s="22">
        <v>39</v>
      </c>
      <c r="X10" s="22">
        <v>84</v>
      </c>
      <c r="Y10" s="25">
        <v>1.2000000476837158</v>
      </c>
      <c r="Z10" s="24">
        <v>1.5</v>
      </c>
      <c r="AA10" s="22">
        <v>2</v>
      </c>
      <c r="AB10" s="23">
        <v>1</v>
      </c>
      <c r="AC10" s="22">
        <v>1</v>
      </c>
      <c r="AD10" s="22">
        <v>1</v>
      </c>
      <c r="AE10" s="22">
        <v>1</v>
      </c>
      <c r="AF10" s="22">
        <v>0</v>
      </c>
      <c r="AG10" s="23">
        <v>1</v>
      </c>
      <c r="AH10" s="22">
        <v>0</v>
      </c>
      <c r="AI10" s="22">
        <v>0</v>
      </c>
      <c r="AJ10" s="22">
        <v>1</v>
      </c>
    </row>
    <row r="11" spans="1:36" x14ac:dyDescent="0.25">
      <c r="A11" s="16">
        <v>9</v>
      </c>
      <c r="B11" s="22" t="s">
        <v>295</v>
      </c>
      <c r="C11" s="23">
        <v>0</v>
      </c>
      <c r="D11" s="23">
        <v>49</v>
      </c>
      <c r="E11" s="24">
        <v>46</v>
      </c>
      <c r="F11" s="23">
        <v>168</v>
      </c>
      <c r="G11" s="27">
        <v>16.298187255859375</v>
      </c>
      <c r="H11" s="22">
        <v>105</v>
      </c>
      <c r="I11" s="22">
        <v>65</v>
      </c>
      <c r="J11" s="22">
        <v>107</v>
      </c>
      <c r="K11" s="25">
        <v>0.51999998092651367</v>
      </c>
      <c r="L11" s="22">
        <v>136</v>
      </c>
      <c r="M11" s="22">
        <v>112</v>
      </c>
      <c r="N11" s="22">
        <v>90</v>
      </c>
      <c r="O11" s="22">
        <v>769</v>
      </c>
      <c r="P11" s="26">
        <v>1.2000000476837158</v>
      </c>
      <c r="Q11" s="22">
        <v>180</v>
      </c>
      <c r="R11" s="26">
        <v>4.6999998092651367</v>
      </c>
      <c r="S11" s="23">
        <v>263</v>
      </c>
      <c r="T11" s="23">
        <v>109</v>
      </c>
      <c r="U11" s="24">
        <v>11.539999961853027</v>
      </c>
      <c r="V11" s="26">
        <v>13.5</v>
      </c>
      <c r="W11" s="22">
        <v>40</v>
      </c>
      <c r="X11" s="22">
        <v>237</v>
      </c>
      <c r="Y11" s="25">
        <v>0.89999997615814209</v>
      </c>
      <c r="Z11" s="24">
        <v>1</v>
      </c>
      <c r="AA11" s="22">
        <v>2</v>
      </c>
      <c r="AB11" s="23">
        <v>2</v>
      </c>
      <c r="AC11" s="22">
        <v>1</v>
      </c>
      <c r="AD11" s="22">
        <v>2</v>
      </c>
      <c r="AE11" s="22">
        <v>1</v>
      </c>
      <c r="AF11" s="22">
        <v>1</v>
      </c>
      <c r="AG11" s="23">
        <v>0</v>
      </c>
      <c r="AH11" s="22">
        <v>0</v>
      </c>
      <c r="AI11" s="22">
        <v>2</v>
      </c>
      <c r="AJ11" s="22">
        <v>2</v>
      </c>
    </row>
    <row r="12" spans="1:36" x14ac:dyDescent="0.25">
      <c r="A12" s="16">
        <v>10</v>
      </c>
      <c r="B12" s="22" t="s">
        <v>294</v>
      </c>
      <c r="C12" s="23">
        <v>1</v>
      </c>
      <c r="D12" s="23">
        <v>69</v>
      </c>
      <c r="E12" s="24">
        <v>92.800003051757813</v>
      </c>
      <c r="F12" s="23">
        <v>178</v>
      </c>
      <c r="G12" s="27">
        <v>29.289234161376953</v>
      </c>
      <c r="H12" s="22">
        <v>170</v>
      </c>
      <c r="I12" s="22">
        <v>100</v>
      </c>
      <c r="J12" s="22">
        <v>124</v>
      </c>
      <c r="K12" s="25">
        <v>0.68000000715255737</v>
      </c>
      <c r="L12" s="22">
        <v>139</v>
      </c>
      <c r="M12" s="22">
        <v>129</v>
      </c>
      <c r="N12" s="22">
        <v>64</v>
      </c>
      <c r="O12" s="22">
        <v>269</v>
      </c>
      <c r="P12" s="26">
        <v>1.5</v>
      </c>
      <c r="Q12" s="22">
        <v>88</v>
      </c>
      <c r="R12" s="26">
        <v>4.5999999046325684</v>
      </c>
      <c r="S12" s="23">
        <v>204</v>
      </c>
      <c r="T12" s="23">
        <v>70</v>
      </c>
      <c r="U12" s="24">
        <v>7.3499999046325684</v>
      </c>
      <c r="V12" s="26">
        <v>17</v>
      </c>
      <c r="W12" s="22">
        <v>50</v>
      </c>
      <c r="X12" s="22">
        <v>195</v>
      </c>
      <c r="Y12" s="25">
        <v>0.89999997615814209</v>
      </c>
      <c r="Z12" s="24">
        <v>2.5</v>
      </c>
      <c r="AA12" s="22">
        <v>1</v>
      </c>
      <c r="AB12" s="23">
        <v>1</v>
      </c>
      <c r="AC12" s="22">
        <v>1</v>
      </c>
      <c r="AD12" s="22">
        <v>1</v>
      </c>
      <c r="AE12" s="22">
        <v>1</v>
      </c>
      <c r="AF12" s="22">
        <v>0</v>
      </c>
      <c r="AG12" s="23">
        <v>1</v>
      </c>
      <c r="AH12" s="22">
        <v>0</v>
      </c>
      <c r="AI12" s="22">
        <v>0</v>
      </c>
      <c r="AJ12" s="22">
        <v>1</v>
      </c>
    </row>
    <row r="13" spans="1:36" x14ac:dyDescent="0.25">
      <c r="A13" s="16">
        <v>11</v>
      </c>
      <c r="B13" s="22" t="s">
        <v>293</v>
      </c>
      <c r="C13" s="23">
        <v>1</v>
      </c>
      <c r="D13" s="23">
        <v>49</v>
      </c>
      <c r="E13" s="24">
        <v>65</v>
      </c>
      <c r="F13" s="23">
        <v>169</v>
      </c>
      <c r="G13" s="27">
        <v>22.758306503295898</v>
      </c>
      <c r="H13" s="22">
        <v>125</v>
      </c>
      <c r="I13" s="22">
        <v>80</v>
      </c>
      <c r="J13" s="22">
        <v>110</v>
      </c>
      <c r="K13" s="25">
        <v>0.60000002384185791</v>
      </c>
      <c r="L13" s="22">
        <v>140</v>
      </c>
      <c r="M13" s="22">
        <v>160</v>
      </c>
      <c r="N13" s="22">
        <v>76</v>
      </c>
      <c r="O13" s="22">
        <v>558</v>
      </c>
      <c r="P13" s="26">
        <v>0.80000001192092896</v>
      </c>
      <c r="Q13" s="22">
        <v>99</v>
      </c>
      <c r="R13" s="26">
        <v>4.5</v>
      </c>
      <c r="S13" s="23">
        <v>198</v>
      </c>
      <c r="T13" s="23">
        <v>108</v>
      </c>
      <c r="U13" s="24">
        <v>3.869999885559082</v>
      </c>
      <c r="V13" s="26">
        <v>14.699999809265137</v>
      </c>
      <c r="W13" s="22">
        <v>43</v>
      </c>
      <c r="X13" s="22">
        <v>249</v>
      </c>
      <c r="Y13" s="25">
        <v>1.0199999809265137</v>
      </c>
      <c r="Z13" s="24">
        <v>3.5</v>
      </c>
      <c r="AA13" s="22">
        <v>0</v>
      </c>
      <c r="AB13" s="23">
        <v>0</v>
      </c>
      <c r="AC13" s="22">
        <v>0</v>
      </c>
      <c r="AD13" s="22">
        <v>3</v>
      </c>
      <c r="AE13" s="22">
        <v>0</v>
      </c>
      <c r="AF13" s="22">
        <v>0</v>
      </c>
      <c r="AG13" s="23">
        <v>0</v>
      </c>
      <c r="AH13" s="22">
        <v>0</v>
      </c>
      <c r="AI13" s="22">
        <v>0</v>
      </c>
      <c r="AJ13" s="22">
        <v>2</v>
      </c>
    </row>
    <row r="14" spans="1:36" x14ac:dyDescent="0.25">
      <c r="A14" s="16">
        <v>12</v>
      </c>
      <c r="B14" s="22" t="s">
        <v>292</v>
      </c>
      <c r="C14" s="23">
        <v>1</v>
      </c>
      <c r="D14" s="23">
        <v>59</v>
      </c>
      <c r="E14" s="24">
        <v>85</v>
      </c>
      <c r="F14" s="23">
        <v>186</v>
      </c>
      <c r="G14" s="27">
        <v>24.569314956665039</v>
      </c>
      <c r="H14" s="22">
        <v>100</v>
      </c>
      <c r="I14" s="22">
        <v>70</v>
      </c>
      <c r="J14" s="22">
        <v>82</v>
      </c>
      <c r="K14" s="25">
        <v>0.95999997854232788</v>
      </c>
      <c r="L14" s="22">
        <v>142</v>
      </c>
      <c r="M14" s="22">
        <v>204</v>
      </c>
      <c r="N14" s="22">
        <v>84</v>
      </c>
      <c r="O14" s="22">
        <v>441</v>
      </c>
      <c r="P14" s="26">
        <v>1.2000000476837158</v>
      </c>
      <c r="Q14" s="22">
        <v>88</v>
      </c>
      <c r="R14" s="26">
        <v>4.5</v>
      </c>
      <c r="S14" s="23">
        <v>231</v>
      </c>
      <c r="T14" s="23">
        <v>63</v>
      </c>
      <c r="U14" s="24">
        <v>5.6999998092651367</v>
      </c>
      <c r="V14" s="26">
        <v>13.899999618530273</v>
      </c>
      <c r="W14" s="22">
        <v>40</v>
      </c>
      <c r="X14" s="22">
        <v>184</v>
      </c>
      <c r="Y14" s="25">
        <v>0.99000000953674316</v>
      </c>
      <c r="Z14" s="24">
        <v>1</v>
      </c>
      <c r="AA14" s="22">
        <v>0</v>
      </c>
      <c r="AB14" s="23">
        <v>2</v>
      </c>
      <c r="AC14" s="22">
        <v>1</v>
      </c>
      <c r="AD14" s="22">
        <v>3</v>
      </c>
      <c r="AE14" s="22">
        <v>0</v>
      </c>
      <c r="AF14" s="22">
        <v>0</v>
      </c>
      <c r="AG14" s="23">
        <v>0</v>
      </c>
      <c r="AH14" s="22">
        <v>1</v>
      </c>
      <c r="AI14" s="22">
        <v>0</v>
      </c>
      <c r="AJ14" s="22">
        <v>1</v>
      </c>
    </row>
    <row r="19" spans="2:2" ht="21" x14ac:dyDescent="0.25">
      <c r="B19" s="21" t="s">
        <v>291</v>
      </c>
    </row>
    <row r="20" spans="2:2" ht="18.75" x14ac:dyDescent="0.25">
      <c r="B20" s="20" t="s">
        <v>290</v>
      </c>
    </row>
    <row r="21" spans="2:2" x14ac:dyDescent="0.25">
      <c r="B21" s="19" t="s">
        <v>34</v>
      </c>
    </row>
    <row r="22" spans="2:2" x14ac:dyDescent="0.25">
      <c r="B22" t="s">
        <v>289</v>
      </c>
    </row>
    <row r="23" spans="2:2" x14ac:dyDescent="0.25">
      <c r="B23" t="s">
        <v>288</v>
      </c>
    </row>
    <row r="24" spans="2:2" x14ac:dyDescent="0.25">
      <c r="B24" t="s">
        <v>287</v>
      </c>
    </row>
    <row r="25" spans="2:2" x14ac:dyDescent="0.25">
      <c r="B25" s="19" t="s">
        <v>286</v>
      </c>
    </row>
    <row r="26" spans="2:2" x14ac:dyDescent="0.25">
      <c r="B26" t="s">
        <v>285</v>
      </c>
    </row>
    <row r="27" spans="2:2" x14ac:dyDescent="0.25">
      <c r="B27" t="s">
        <v>284</v>
      </c>
    </row>
    <row r="28" spans="2:2" x14ac:dyDescent="0.25">
      <c r="B28" t="s">
        <v>283</v>
      </c>
    </row>
    <row r="29" spans="2:2" x14ac:dyDescent="0.25">
      <c r="B29" s="3" t="s">
        <v>37</v>
      </c>
    </row>
    <row r="30" spans="2:2" x14ac:dyDescent="0.25">
      <c r="B30" t="s">
        <v>282</v>
      </c>
    </row>
    <row r="31" spans="2:2" x14ac:dyDescent="0.25">
      <c r="B31" s="18" t="s">
        <v>281</v>
      </c>
    </row>
    <row r="32" spans="2:2" x14ac:dyDescent="0.25">
      <c r="B32" s="3" t="s">
        <v>38</v>
      </c>
    </row>
    <row r="33" spans="2:2" x14ac:dyDescent="0.25">
      <c r="B33" t="s">
        <v>280</v>
      </c>
    </row>
    <row r="34" spans="2:2" x14ac:dyDescent="0.25">
      <c r="B34" t="s">
        <v>279</v>
      </c>
    </row>
    <row r="35" spans="2:2" x14ac:dyDescent="0.25">
      <c r="B35" t="s">
        <v>278</v>
      </c>
    </row>
    <row r="36" spans="2:2" x14ac:dyDescent="0.25">
      <c r="B36" t="s">
        <v>277</v>
      </c>
    </row>
    <row r="37" spans="2:2" x14ac:dyDescent="0.25">
      <c r="B37" s="3" t="s">
        <v>39</v>
      </c>
    </row>
    <row r="38" spans="2:2" x14ac:dyDescent="0.25">
      <c r="B38" t="s">
        <v>276</v>
      </c>
    </row>
    <row r="39" spans="2:2" x14ac:dyDescent="0.25">
      <c r="B39" t="s">
        <v>275</v>
      </c>
    </row>
    <row r="40" spans="2:2" x14ac:dyDescent="0.25">
      <c r="B40" s="3" t="s">
        <v>40</v>
      </c>
    </row>
    <row r="41" spans="2:2" x14ac:dyDescent="0.25">
      <c r="B41" t="s">
        <v>274</v>
      </c>
    </row>
    <row r="42" spans="2:2" x14ac:dyDescent="0.25">
      <c r="B42" t="s">
        <v>273</v>
      </c>
    </row>
    <row r="43" spans="2:2" x14ac:dyDescent="0.25">
      <c r="B43" s="18" t="s">
        <v>272</v>
      </c>
    </row>
    <row r="44" spans="2:2" x14ac:dyDescent="0.25">
      <c r="B44" s="18" t="s">
        <v>271</v>
      </c>
    </row>
    <row r="45" spans="2:2" x14ac:dyDescent="0.25">
      <c r="B45" s="3" t="s">
        <v>41</v>
      </c>
    </row>
    <row r="46" spans="2:2" x14ac:dyDescent="0.25">
      <c r="B46" t="s">
        <v>270</v>
      </c>
    </row>
    <row r="47" spans="2:2" x14ac:dyDescent="0.25">
      <c r="B47" t="s">
        <v>269</v>
      </c>
    </row>
    <row r="48" spans="2:2" x14ac:dyDescent="0.25">
      <c r="B48" s="3" t="s">
        <v>42</v>
      </c>
    </row>
    <row r="49" spans="2:2" x14ac:dyDescent="0.25">
      <c r="B49" s="18" t="s">
        <v>268</v>
      </c>
    </row>
    <row r="50" spans="2:2" x14ac:dyDescent="0.25">
      <c r="B50" s="18" t="s">
        <v>267</v>
      </c>
    </row>
    <row r="51" spans="2:2" x14ac:dyDescent="0.25">
      <c r="B51" s="3" t="s">
        <v>43</v>
      </c>
    </row>
    <row r="52" spans="2:2" x14ac:dyDescent="0.25">
      <c r="B52" t="s">
        <v>266</v>
      </c>
    </row>
    <row r="53" spans="2:2" x14ac:dyDescent="0.25">
      <c r="B53" t="s">
        <v>265</v>
      </c>
    </row>
    <row r="54" spans="2:2" x14ac:dyDescent="0.25">
      <c r="B54" t="s">
        <v>264</v>
      </c>
    </row>
    <row r="55" spans="2:2" x14ac:dyDescent="0.25">
      <c r="B55" s="3" t="s">
        <v>44</v>
      </c>
    </row>
    <row r="56" spans="2:2" x14ac:dyDescent="0.25">
      <c r="B56" t="s">
        <v>263</v>
      </c>
    </row>
    <row r="57" spans="2:2" x14ac:dyDescent="0.25">
      <c r="B57" t="s">
        <v>262</v>
      </c>
    </row>
    <row r="58" spans="2:2" x14ac:dyDescent="0.25">
      <c r="B58" t="s">
        <v>261</v>
      </c>
    </row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7"/>
  <sheetViews>
    <sheetView topLeftCell="A37" workbookViewId="0">
      <selection activeCell="E34" sqref="E34"/>
    </sheetView>
  </sheetViews>
  <sheetFormatPr defaultColWidth="11" defaultRowHeight="15.75" x14ac:dyDescent="0.25"/>
  <cols>
    <col min="13" max="13" width="16.5" customWidth="1"/>
  </cols>
  <sheetData>
    <row r="1" spans="1:19" x14ac:dyDescent="0.25">
      <c r="A1" s="3" t="s">
        <v>691</v>
      </c>
    </row>
    <row r="2" spans="1:19" x14ac:dyDescent="0.25">
      <c r="A2" s="15" t="s">
        <v>711</v>
      </c>
      <c r="B2" s="36" t="s">
        <v>692</v>
      </c>
      <c r="C2" s="36" t="s">
        <v>693</v>
      </c>
      <c r="D2" s="36" t="s">
        <v>694</v>
      </c>
      <c r="E2" s="36" t="s">
        <v>695</v>
      </c>
      <c r="F2" s="36" t="s">
        <v>696</v>
      </c>
      <c r="G2" s="36" t="s">
        <v>697</v>
      </c>
      <c r="H2" s="36" t="s">
        <v>698</v>
      </c>
      <c r="I2" s="36" t="s">
        <v>699</v>
      </c>
      <c r="J2" s="36" t="s">
        <v>700</v>
      </c>
      <c r="K2" s="36" t="s">
        <v>701</v>
      </c>
      <c r="L2" s="36" t="s">
        <v>702</v>
      </c>
      <c r="M2" s="36" t="s">
        <v>703</v>
      </c>
      <c r="N2" s="36" t="s">
        <v>15</v>
      </c>
      <c r="O2" s="36" t="s">
        <v>704</v>
      </c>
    </row>
    <row r="3" spans="1:19" x14ac:dyDescent="0.25">
      <c r="A3" s="34" t="s">
        <v>206</v>
      </c>
      <c r="B3" s="35">
        <v>38183</v>
      </c>
      <c r="C3" s="35">
        <v>38128</v>
      </c>
      <c r="D3" s="34">
        <v>46</v>
      </c>
      <c r="E3" s="34" t="s">
        <v>80</v>
      </c>
      <c r="F3" s="34">
        <v>145</v>
      </c>
      <c r="G3" s="34">
        <v>5.5</v>
      </c>
      <c r="H3" s="34">
        <v>93</v>
      </c>
      <c r="I3" s="34">
        <v>223</v>
      </c>
      <c r="J3" s="34">
        <v>276</v>
      </c>
      <c r="K3" s="34"/>
      <c r="L3" s="34">
        <v>1</v>
      </c>
      <c r="M3" s="34">
        <v>1.8</v>
      </c>
      <c r="N3" s="34">
        <v>96</v>
      </c>
      <c r="O3" s="34">
        <v>16</v>
      </c>
    </row>
    <row r="4" spans="1:19" x14ac:dyDescent="0.25">
      <c r="A4" s="34" t="s">
        <v>208</v>
      </c>
      <c r="B4" s="35">
        <v>38177</v>
      </c>
      <c r="C4" s="35">
        <v>38126</v>
      </c>
      <c r="D4" s="34">
        <v>67</v>
      </c>
      <c r="E4" s="34" t="s">
        <v>85</v>
      </c>
      <c r="F4" s="34">
        <v>139</v>
      </c>
      <c r="G4" s="34">
        <v>5.2</v>
      </c>
      <c r="H4" s="34">
        <v>123</v>
      </c>
      <c r="I4" s="34">
        <v>66</v>
      </c>
      <c r="J4" s="34">
        <v>124</v>
      </c>
      <c r="K4" s="34">
        <v>41</v>
      </c>
      <c r="L4" s="34">
        <v>0.8</v>
      </c>
      <c r="M4" s="34">
        <v>1.5</v>
      </c>
      <c r="N4" s="34">
        <v>20</v>
      </c>
      <c r="O4" s="34">
        <v>6</v>
      </c>
    </row>
    <row r="5" spans="1:19" x14ac:dyDescent="0.25">
      <c r="A5" s="34" t="s">
        <v>209</v>
      </c>
      <c r="B5" s="35">
        <v>38533</v>
      </c>
      <c r="C5" s="35">
        <v>38516</v>
      </c>
      <c r="D5" s="34">
        <v>64</v>
      </c>
      <c r="E5" s="34" t="s">
        <v>80</v>
      </c>
      <c r="F5" s="34">
        <v>175</v>
      </c>
      <c r="G5" s="34">
        <v>8.9</v>
      </c>
      <c r="H5" s="34">
        <v>164</v>
      </c>
      <c r="I5" s="34">
        <v>99</v>
      </c>
      <c r="J5" s="34">
        <v>155</v>
      </c>
      <c r="K5" s="34">
        <v>41</v>
      </c>
      <c r="L5" s="34">
        <v>1</v>
      </c>
      <c r="M5" s="34">
        <v>1.1000000000000001</v>
      </c>
      <c r="N5" s="34">
        <v>43</v>
      </c>
      <c r="O5" s="34">
        <v>7.5</v>
      </c>
    </row>
    <row r="6" spans="1:19" x14ac:dyDescent="0.25">
      <c r="A6" s="34" t="s">
        <v>210</v>
      </c>
      <c r="B6" s="35">
        <v>38506</v>
      </c>
      <c r="C6" s="35">
        <v>38496</v>
      </c>
      <c r="D6" s="34">
        <v>61</v>
      </c>
      <c r="E6" s="34" t="s">
        <v>80</v>
      </c>
      <c r="F6" s="34">
        <v>161</v>
      </c>
      <c r="G6" s="34">
        <v>6.4</v>
      </c>
      <c r="H6" s="34">
        <v>213</v>
      </c>
      <c r="I6" s="34">
        <v>116</v>
      </c>
      <c r="J6" s="34">
        <v>156</v>
      </c>
      <c r="K6" s="34">
        <v>47</v>
      </c>
      <c r="L6" s="34">
        <v>1.1000000000000001</v>
      </c>
      <c r="M6" s="34">
        <v>0.8</v>
      </c>
      <c r="N6" s="34">
        <v>58</v>
      </c>
      <c r="O6" s="34">
        <v>9</v>
      </c>
    </row>
    <row r="7" spans="1:19" x14ac:dyDescent="0.25">
      <c r="A7" s="34" t="s">
        <v>211</v>
      </c>
      <c r="B7" s="35">
        <v>38490</v>
      </c>
      <c r="C7" s="35">
        <v>38474</v>
      </c>
      <c r="D7" s="34">
        <v>61</v>
      </c>
      <c r="E7" s="34" t="s">
        <v>80</v>
      </c>
      <c r="F7" s="34">
        <v>165</v>
      </c>
      <c r="G7" s="34">
        <v>4.5</v>
      </c>
      <c r="H7" s="34">
        <v>150</v>
      </c>
      <c r="I7" s="34">
        <v>86</v>
      </c>
      <c r="J7" s="34">
        <v>99</v>
      </c>
      <c r="K7" s="34"/>
      <c r="L7" s="34">
        <v>1.1000000000000001</v>
      </c>
      <c r="M7" s="34">
        <v>1.1000000000000001</v>
      </c>
      <c r="N7" s="34">
        <v>37</v>
      </c>
      <c r="O7" s="34">
        <v>12</v>
      </c>
    </row>
    <row r="8" spans="1:19" x14ac:dyDescent="0.25">
      <c r="A8" s="34" t="s">
        <v>212</v>
      </c>
      <c r="B8" s="35">
        <v>38974</v>
      </c>
      <c r="C8" s="35">
        <v>38957</v>
      </c>
      <c r="D8" s="34">
        <v>53</v>
      </c>
      <c r="E8" s="34" t="s">
        <v>80</v>
      </c>
      <c r="F8" s="34">
        <v>167</v>
      </c>
      <c r="G8" s="34">
        <v>6.94</v>
      </c>
      <c r="H8" s="34">
        <v>123</v>
      </c>
      <c r="I8" s="34">
        <v>63</v>
      </c>
      <c r="J8" s="34">
        <v>113</v>
      </c>
      <c r="K8" s="34">
        <v>45</v>
      </c>
      <c r="L8" s="34">
        <v>0.94</v>
      </c>
      <c r="M8" s="34">
        <v>0.6</v>
      </c>
      <c r="N8" s="34">
        <v>45</v>
      </c>
      <c r="O8" s="34">
        <v>6.5</v>
      </c>
    </row>
    <row r="9" spans="1:19" x14ac:dyDescent="0.25">
      <c r="A9" s="34" t="s">
        <v>213</v>
      </c>
      <c r="B9" s="35">
        <v>38875</v>
      </c>
      <c r="C9" s="35">
        <v>38866</v>
      </c>
      <c r="D9" s="34">
        <v>45</v>
      </c>
      <c r="E9" s="34" t="s">
        <v>80</v>
      </c>
      <c r="F9" s="34">
        <v>185</v>
      </c>
      <c r="G9" s="34">
        <v>6.95</v>
      </c>
      <c r="H9" s="34">
        <v>142</v>
      </c>
      <c r="I9" s="34">
        <v>95</v>
      </c>
      <c r="J9" s="34">
        <v>103</v>
      </c>
      <c r="K9" s="34">
        <v>45</v>
      </c>
      <c r="L9" s="34">
        <v>0.84</v>
      </c>
      <c r="M9" s="34">
        <v>0.7</v>
      </c>
      <c r="N9" s="34">
        <v>276</v>
      </c>
      <c r="O9" s="34">
        <v>6.5</v>
      </c>
    </row>
    <row r="10" spans="1:19" x14ac:dyDescent="0.25">
      <c r="A10" s="34" t="s">
        <v>214</v>
      </c>
      <c r="B10" s="35">
        <v>38379</v>
      </c>
      <c r="C10" s="35">
        <v>38379</v>
      </c>
      <c r="D10" s="34">
        <v>69</v>
      </c>
      <c r="E10" s="34" t="s">
        <v>80</v>
      </c>
      <c r="F10" s="34">
        <v>93</v>
      </c>
      <c r="G10" s="34">
        <v>3.1</v>
      </c>
      <c r="H10" s="34">
        <v>108</v>
      </c>
      <c r="I10" s="34">
        <v>63</v>
      </c>
      <c r="J10" s="34">
        <v>56</v>
      </c>
      <c r="K10" s="34">
        <v>39</v>
      </c>
      <c r="L10" s="34">
        <v>1.4</v>
      </c>
      <c r="M10" s="34">
        <v>0.8</v>
      </c>
      <c r="N10" s="34">
        <v>388</v>
      </c>
      <c r="O10" s="34">
        <v>3.5</v>
      </c>
    </row>
    <row r="11" spans="1:19" x14ac:dyDescent="0.25">
      <c r="A11" s="34" t="s">
        <v>215</v>
      </c>
      <c r="B11" s="35">
        <v>38243</v>
      </c>
      <c r="C11" s="35">
        <v>38211</v>
      </c>
      <c r="D11" s="34">
        <v>65</v>
      </c>
      <c r="E11" s="34" t="s">
        <v>85</v>
      </c>
      <c r="F11" s="34">
        <v>128</v>
      </c>
      <c r="G11" s="34">
        <v>4</v>
      </c>
      <c r="H11" s="34">
        <v>189</v>
      </c>
      <c r="I11" s="34">
        <v>53</v>
      </c>
      <c r="J11" s="34">
        <v>33</v>
      </c>
      <c r="K11" s="34">
        <v>40</v>
      </c>
      <c r="L11" s="34">
        <v>0.7</v>
      </c>
      <c r="M11" s="34">
        <v>1.9</v>
      </c>
      <c r="N11" s="34">
        <v>13</v>
      </c>
      <c r="O11" s="34">
        <v>10</v>
      </c>
    </row>
    <row r="12" spans="1:19" x14ac:dyDescent="0.25">
      <c r="C12" s="40"/>
      <c r="D12" s="40"/>
      <c r="F12">
        <f>AVERAGE(F3:F11)</f>
        <v>150.88888888888889</v>
      </c>
      <c r="G12">
        <f t="shared" ref="G12:O12" si="0">AVERAGE(G3:G11)</f>
        <v>5.721111111111111</v>
      </c>
      <c r="H12">
        <f t="shared" si="0"/>
        <v>145</v>
      </c>
      <c r="I12">
        <f t="shared" si="0"/>
        <v>96</v>
      </c>
      <c r="J12">
        <f t="shared" si="0"/>
        <v>123.88888888888889</v>
      </c>
      <c r="K12">
        <f t="shared" si="0"/>
        <v>42.571428571428569</v>
      </c>
      <c r="L12">
        <f t="shared" si="0"/>
        <v>0.98666666666666658</v>
      </c>
      <c r="M12">
        <f t="shared" si="0"/>
        <v>1.1444444444444446</v>
      </c>
      <c r="N12">
        <f t="shared" si="0"/>
        <v>108.44444444444444</v>
      </c>
      <c r="O12">
        <f t="shared" si="0"/>
        <v>8.5555555555555554</v>
      </c>
    </row>
    <row r="13" spans="1:19" x14ac:dyDescent="0.25">
      <c r="A13" s="3" t="s">
        <v>705</v>
      </c>
    </row>
    <row r="14" spans="1:19" x14ac:dyDescent="0.25">
      <c r="A14" s="15" t="s">
        <v>711</v>
      </c>
      <c r="B14" s="36" t="s">
        <v>692</v>
      </c>
      <c r="C14" s="36" t="s">
        <v>693</v>
      </c>
      <c r="D14" s="36" t="s">
        <v>694</v>
      </c>
      <c r="E14" s="36" t="s">
        <v>695</v>
      </c>
      <c r="F14" s="36" t="s">
        <v>696</v>
      </c>
      <c r="G14" s="36" t="s">
        <v>697</v>
      </c>
      <c r="H14" s="36" t="s">
        <v>698</v>
      </c>
      <c r="I14" s="36" t="s">
        <v>699</v>
      </c>
      <c r="J14" s="36" t="s">
        <v>700</v>
      </c>
      <c r="K14" s="36" t="s">
        <v>706</v>
      </c>
      <c r="L14" s="36" t="s">
        <v>702</v>
      </c>
      <c r="M14" s="36" t="s">
        <v>703</v>
      </c>
      <c r="N14" s="36" t="s">
        <v>15</v>
      </c>
      <c r="O14" s="36" t="s">
        <v>16</v>
      </c>
      <c r="P14" s="36" t="s">
        <v>24</v>
      </c>
      <c r="Q14" s="36" t="s">
        <v>707</v>
      </c>
      <c r="R14" s="36" t="s">
        <v>708</v>
      </c>
      <c r="S14" s="36" t="s">
        <v>709</v>
      </c>
    </row>
    <row r="15" spans="1:19" x14ac:dyDescent="0.25">
      <c r="A15" s="34" t="s">
        <v>195</v>
      </c>
      <c r="B15" s="35">
        <v>39016</v>
      </c>
      <c r="C15" s="35">
        <v>38980</v>
      </c>
      <c r="D15" s="34">
        <v>53</v>
      </c>
      <c r="E15" s="34" t="s">
        <v>85</v>
      </c>
      <c r="F15" s="34">
        <v>138</v>
      </c>
      <c r="G15" s="34">
        <v>6.66</v>
      </c>
      <c r="H15" s="34">
        <v>280</v>
      </c>
      <c r="I15" s="34">
        <v>28</v>
      </c>
      <c r="J15" s="34">
        <v>40</v>
      </c>
      <c r="K15" s="34">
        <v>45</v>
      </c>
      <c r="L15" s="34">
        <v>0.85</v>
      </c>
      <c r="M15" s="34">
        <v>0.8</v>
      </c>
      <c r="N15" s="34">
        <v>29</v>
      </c>
      <c r="O15" s="34">
        <v>195</v>
      </c>
      <c r="P15" s="34">
        <v>143</v>
      </c>
      <c r="Q15" s="34">
        <v>93</v>
      </c>
      <c r="R15" s="34">
        <v>13.5</v>
      </c>
      <c r="S15" s="34">
        <v>45.56</v>
      </c>
    </row>
    <row r="16" spans="1:19" x14ac:dyDescent="0.25">
      <c r="A16" s="34" t="s">
        <v>197</v>
      </c>
      <c r="B16" s="35">
        <v>38735</v>
      </c>
      <c r="C16" s="35">
        <v>38698</v>
      </c>
      <c r="D16" s="34">
        <v>52</v>
      </c>
      <c r="E16" s="34" t="s">
        <v>85</v>
      </c>
      <c r="F16" s="34">
        <v>146</v>
      </c>
      <c r="G16" s="34">
        <v>8.5</v>
      </c>
      <c r="H16" s="34">
        <v>259</v>
      </c>
      <c r="I16" s="34">
        <v>24</v>
      </c>
      <c r="J16" s="34">
        <v>52</v>
      </c>
      <c r="K16" s="34">
        <v>46</v>
      </c>
      <c r="L16" s="34">
        <v>1.1000000000000001</v>
      </c>
      <c r="M16" s="34">
        <v>0.4</v>
      </c>
      <c r="N16" s="34">
        <v>27</v>
      </c>
      <c r="O16" s="34">
        <v>182</v>
      </c>
      <c r="P16" s="34">
        <v>140</v>
      </c>
      <c r="Q16" s="34">
        <v>99</v>
      </c>
      <c r="R16" s="34">
        <v>13.4</v>
      </c>
      <c r="S16" s="34">
        <v>45.42</v>
      </c>
    </row>
    <row r="17" spans="1:19" x14ac:dyDescent="0.25">
      <c r="A17" s="34" t="s">
        <v>198</v>
      </c>
      <c r="B17" s="35">
        <v>38750</v>
      </c>
      <c r="C17" s="35">
        <v>38750</v>
      </c>
      <c r="D17" s="34">
        <v>65</v>
      </c>
      <c r="E17" s="34" t="s">
        <v>85</v>
      </c>
      <c r="F17" s="34">
        <v>150</v>
      </c>
      <c r="G17" s="34">
        <v>13.4</v>
      </c>
      <c r="H17" s="34">
        <v>178</v>
      </c>
      <c r="I17" s="34">
        <v>65</v>
      </c>
      <c r="J17" s="34">
        <v>117</v>
      </c>
      <c r="K17" s="34"/>
      <c r="L17" s="34">
        <v>1.2</v>
      </c>
      <c r="M17" s="34">
        <v>63</v>
      </c>
      <c r="N17" s="34"/>
      <c r="O17" s="34"/>
      <c r="P17" s="34">
        <v>141</v>
      </c>
      <c r="Q17" s="34">
        <v>100</v>
      </c>
      <c r="R17" s="34">
        <v>11.7</v>
      </c>
      <c r="S17" s="34">
        <v>51.3</v>
      </c>
    </row>
    <row r="18" spans="1:19" x14ac:dyDescent="0.25">
      <c r="A18" s="34" t="s">
        <v>199</v>
      </c>
      <c r="B18" s="35">
        <v>38870</v>
      </c>
      <c r="C18" s="35">
        <v>38784</v>
      </c>
      <c r="D18" s="34">
        <v>37</v>
      </c>
      <c r="E18" s="34" t="s">
        <v>85</v>
      </c>
      <c r="F18" s="34">
        <v>142</v>
      </c>
      <c r="G18" s="34">
        <v>8</v>
      </c>
      <c r="H18" s="34">
        <v>209</v>
      </c>
      <c r="I18" s="34">
        <v>32</v>
      </c>
      <c r="J18" s="34">
        <v>29</v>
      </c>
      <c r="K18" s="34">
        <v>45</v>
      </c>
      <c r="L18" s="34">
        <v>1</v>
      </c>
      <c r="M18" s="34">
        <v>0.9</v>
      </c>
      <c r="N18" s="34">
        <v>148</v>
      </c>
      <c r="O18" s="34">
        <v>278</v>
      </c>
      <c r="P18" s="34">
        <v>138</v>
      </c>
      <c r="Q18" s="34">
        <v>100</v>
      </c>
      <c r="R18" s="34">
        <v>12.7</v>
      </c>
      <c r="S18" s="34">
        <v>43.97</v>
      </c>
    </row>
    <row r="19" spans="1:19" x14ac:dyDescent="0.25">
      <c r="A19" s="34" t="s">
        <v>200</v>
      </c>
      <c r="B19" s="35">
        <v>38882</v>
      </c>
      <c r="C19" s="35">
        <v>38804</v>
      </c>
      <c r="D19" s="34">
        <v>42</v>
      </c>
      <c r="E19" s="34" t="s">
        <v>80</v>
      </c>
      <c r="F19" s="34">
        <v>144</v>
      </c>
      <c r="G19" s="34">
        <v>8.25</v>
      </c>
      <c r="H19" s="34">
        <v>262</v>
      </c>
      <c r="I19" s="34">
        <v>24</v>
      </c>
      <c r="J19" s="34">
        <v>40</v>
      </c>
      <c r="K19" s="34">
        <v>47</v>
      </c>
      <c r="L19" s="34">
        <v>1.1000000000000001</v>
      </c>
      <c r="M19" s="34">
        <v>0.5</v>
      </c>
      <c r="N19" s="34">
        <v>22</v>
      </c>
      <c r="O19" s="34">
        <v>170</v>
      </c>
      <c r="P19" s="34">
        <v>143</v>
      </c>
      <c r="Q19" s="34">
        <v>100</v>
      </c>
      <c r="R19" s="34">
        <v>12</v>
      </c>
      <c r="S19" s="34">
        <v>48.16</v>
      </c>
    </row>
    <row r="20" spans="1:19" x14ac:dyDescent="0.25">
      <c r="A20" s="34" t="s">
        <v>201</v>
      </c>
      <c r="B20" s="35">
        <v>38888</v>
      </c>
      <c r="C20" s="35">
        <v>38821</v>
      </c>
      <c r="D20" s="34">
        <v>46</v>
      </c>
      <c r="E20" s="34" t="s">
        <v>85</v>
      </c>
      <c r="F20" s="34">
        <v>120</v>
      </c>
      <c r="G20" s="34">
        <v>6.1</v>
      </c>
      <c r="H20" s="34">
        <v>399</v>
      </c>
      <c r="I20" s="34">
        <v>28</v>
      </c>
      <c r="J20" s="34">
        <v>23</v>
      </c>
      <c r="K20" s="34">
        <v>45</v>
      </c>
      <c r="L20" s="34">
        <v>0.84</v>
      </c>
      <c r="M20" s="34">
        <v>0.2</v>
      </c>
      <c r="N20" s="34">
        <v>19</v>
      </c>
      <c r="O20" s="34">
        <v>178</v>
      </c>
      <c r="P20" s="34">
        <v>136</v>
      </c>
      <c r="Q20" s="34">
        <v>100</v>
      </c>
      <c r="R20" s="34">
        <v>12.2</v>
      </c>
      <c r="S20" s="34">
        <v>45.22</v>
      </c>
    </row>
    <row r="21" spans="1:19" x14ac:dyDescent="0.25">
      <c r="A21" s="34" t="s">
        <v>202</v>
      </c>
      <c r="B21" s="35">
        <v>38918</v>
      </c>
      <c r="C21" s="35">
        <v>38919</v>
      </c>
      <c r="D21" s="34">
        <v>47</v>
      </c>
      <c r="E21" s="34" t="s">
        <v>85</v>
      </c>
      <c r="F21" s="34">
        <v>96</v>
      </c>
      <c r="G21" s="34">
        <v>10.7</v>
      </c>
      <c r="H21" s="34">
        <v>262</v>
      </c>
      <c r="I21" s="34">
        <v>34</v>
      </c>
      <c r="J21" s="34">
        <v>37</v>
      </c>
      <c r="K21" s="34">
        <v>29</v>
      </c>
      <c r="L21" s="34">
        <v>0.67</v>
      </c>
      <c r="M21" s="34">
        <v>0.4</v>
      </c>
      <c r="N21" s="34">
        <v>17</v>
      </c>
      <c r="O21" s="34">
        <v>121</v>
      </c>
      <c r="P21" s="34">
        <v>140</v>
      </c>
      <c r="Q21" s="34">
        <v>86</v>
      </c>
      <c r="R21" s="34">
        <v>14</v>
      </c>
      <c r="S21" s="34">
        <v>66.67</v>
      </c>
    </row>
    <row r="22" spans="1:19" x14ac:dyDescent="0.25">
      <c r="A22" s="34" t="s">
        <v>203</v>
      </c>
      <c r="B22" s="35">
        <v>38644</v>
      </c>
      <c r="C22" s="35">
        <v>38512</v>
      </c>
      <c r="D22" s="34">
        <v>53</v>
      </c>
      <c r="E22" s="34" t="s">
        <v>80</v>
      </c>
      <c r="F22" s="34">
        <v>150</v>
      </c>
      <c r="G22" s="34">
        <v>7.5</v>
      </c>
      <c r="H22" s="34">
        <v>389</v>
      </c>
      <c r="I22" s="34">
        <v>37</v>
      </c>
      <c r="J22" s="34">
        <v>42</v>
      </c>
      <c r="K22" s="34">
        <v>44</v>
      </c>
      <c r="L22" s="34">
        <v>1.1000000000000001</v>
      </c>
      <c r="M22" s="34">
        <v>0.7</v>
      </c>
      <c r="N22" s="34">
        <v>31</v>
      </c>
      <c r="O22" s="34">
        <v>183</v>
      </c>
      <c r="P22" s="34">
        <v>136</v>
      </c>
      <c r="Q22" s="34">
        <v>79</v>
      </c>
      <c r="R22" s="34">
        <v>14.8</v>
      </c>
      <c r="S22" s="34">
        <v>50.65</v>
      </c>
    </row>
    <row r="23" spans="1:19" x14ac:dyDescent="0.25">
      <c r="A23" s="34" t="s">
        <v>204</v>
      </c>
      <c r="B23" s="35"/>
      <c r="C23" s="35"/>
      <c r="D23" s="34"/>
      <c r="E23" s="34"/>
      <c r="F23">
        <f>AVERAGE(F15:F22)</f>
        <v>135.75</v>
      </c>
      <c r="G23">
        <f t="shared" ref="G23:S23" si="1">AVERAGE(G15:G22)</f>
        <v>8.6387499999999999</v>
      </c>
      <c r="H23">
        <f t="shared" si="1"/>
        <v>279.75</v>
      </c>
      <c r="I23">
        <f t="shared" si="1"/>
        <v>34</v>
      </c>
      <c r="J23">
        <f t="shared" si="1"/>
        <v>47.5</v>
      </c>
      <c r="K23">
        <f t="shared" si="1"/>
        <v>43</v>
      </c>
      <c r="L23">
        <f t="shared" si="1"/>
        <v>0.98249999999999993</v>
      </c>
      <c r="M23">
        <f t="shared" si="1"/>
        <v>8.3625000000000025</v>
      </c>
      <c r="N23">
        <f t="shared" si="1"/>
        <v>41.857142857142854</v>
      </c>
      <c r="O23">
        <f t="shared" si="1"/>
        <v>186.71428571428572</v>
      </c>
      <c r="P23">
        <f t="shared" si="1"/>
        <v>139.625</v>
      </c>
      <c r="Q23">
        <f t="shared" si="1"/>
        <v>94.625</v>
      </c>
      <c r="R23">
        <f t="shared" si="1"/>
        <v>13.0375</v>
      </c>
      <c r="S23">
        <f t="shared" si="1"/>
        <v>49.618749999999999</v>
      </c>
    </row>
    <row r="25" spans="1:19" x14ac:dyDescent="0.25">
      <c r="A25" s="3" t="s">
        <v>710</v>
      </c>
    </row>
    <row r="26" spans="1:19" x14ac:dyDescent="0.25">
      <c r="A26" s="15" t="s">
        <v>711</v>
      </c>
      <c r="B26" s="36" t="s">
        <v>692</v>
      </c>
      <c r="C26" s="36" t="s">
        <v>693</v>
      </c>
      <c r="D26" s="36" t="s">
        <v>694</v>
      </c>
      <c r="E26" s="36" t="s">
        <v>695</v>
      </c>
      <c r="F26" s="36" t="s">
        <v>696</v>
      </c>
      <c r="G26" s="36" t="s">
        <v>697</v>
      </c>
      <c r="H26" s="36" t="s">
        <v>698</v>
      </c>
      <c r="I26" s="36" t="s">
        <v>699</v>
      </c>
      <c r="J26" s="36" t="s">
        <v>700</v>
      </c>
      <c r="K26" s="36" t="s">
        <v>701</v>
      </c>
      <c r="L26" s="36" t="s">
        <v>702</v>
      </c>
      <c r="M26" s="36" t="s">
        <v>703</v>
      </c>
      <c r="N26" s="36" t="s">
        <v>15</v>
      </c>
      <c r="O26" s="36" t="s">
        <v>16</v>
      </c>
      <c r="P26" s="36" t="s">
        <v>24</v>
      </c>
      <c r="Q26" s="36" t="s">
        <v>707</v>
      </c>
      <c r="R26" s="36" t="s">
        <v>708</v>
      </c>
    </row>
    <row r="27" spans="1:19" x14ac:dyDescent="0.25">
      <c r="A27" s="34" t="s">
        <v>183</v>
      </c>
      <c r="B27" s="35">
        <v>38406</v>
      </c>
      <c r="C27" s="35">
        <v>38394</v>
      </c>
      <c r="D27" s="34">
        <v>68</v>
      </c>
      <c r="E27" s="34" t="s">
        <v>85</v>
      </c>
      <c r="F27" s="34">
        <v>142</v>
      </c>
      <c r="G27" s="34">
        <v>7.1</v>
      </c>
      <c r="H27" s="34">
        <v>189</v>
      </c>
      <c r="I27" s="34">
        <v>55</v>
      </c>
      <c r="J27" s="34">
        <v>66</v>
      </c>
      <c r="K27" s="34">
        <v>46</v>
      </c>
      <c r="L27" s="34">
        <v>1.2</v>
      </c>
      <c r="M27" s="34">
        <v>0.9</v>
      </c>
      <c r="N27" s="34">
        <v>25</v>
      </c>
      <c r="O27" s="34">
        <v>139</v>
      </c>
      <c r="P27" s="34">
        <v>143</v>
      </c>
      <c r="Q27" s="34">
        <v>94</v>
      </c>
      <c r="R27" s="34">
        <v>13.3</v>
      </c>
    </row>
    <row r="28" spans="1:19" x14ac:dyDescent="0.25">
      <c r="A28" s="34" t="s">
        <v>185</v>
      </c>
      <c r="B28" s="35">
        <v>38622</v>
      </c>
      <c r="C28" s="35">
        <v>38614</v>
      </c>
      <c r="D28" s="34">
        <v>44</v>
      </c>
      <c r="E28" s="34" t="s">
        <v>80</v>
      </c>
      <c r="F28" s="34">
        <v>166</v>
      </c>
      <c r="G28" s="34">
        <v>8.5</v>
      </c>
      <c r="H28" s="34">
        <v>291</v>
      </c>
      <c r="I28" s="34">
        <v>55</v>
      </c>
      <c r="J28" s="34">
        <v>85</v>
      </c>
      <c r="K28" s="34">
        <v>47</v>
      </c>
      <c r="L28" s="34">
        <v>1</v>
      </c>
      <c r="M28" s="34">
        <v>1.7</v>
      </c>
      <c r="N28" s="34">
        <v>45</v>
      </c>
      <c r="O28" s="34">
        <v>181</v>
      </c>
      <c r="P28" s="34">
        <v>144</v>
      </c>
      <c r="Q28" s="34">
        <v>94</v>
      </c>
      <c r="R28" s="34">
        <v>13.6</v>
      </c>
    </row>
    <row r="29" spans="1:19" x14ac:dyDescent="0.25">
      <c r="A29" s="34" t="s">
        <v>186</v>
      </c>
      <c r="B29" s="35">
        <v>38446</v>
      </c>
      <c r="C29" s="35">
        <v>38441</v>
      </c>
      <c r="D29" s="34">
        <v>67</v>
      </c>
      <c r="E29" s="34" t="s">
        <v>85</v>
      </c>
      <c r="F29" s="34">
        <v>142</v>
      </c>
      <c r="G29" s="34">
        <v>5.9</v>
      </c>
      <c r="H29" s="34">
        <v>244</v>
      </c>
      <c r="I29" s="34">
        <v>89</v>
      </c>
      <c r="J29" s="34">
        <v>110</v>
      </c>
      <c r="K29" s="34">
        <v>41</v>
      </c>
      <c r="L29" s="34">
        <v>1</v>
      </c>
      <c r="M29" s="34">
        <v>0.8</v>
      </c>
      <c r="N29" s="34">
        <v>58</v>
      </c>
      <c r="O29" s="34">
        <v>320</v>
      </c>
      <c r="P29" s="34">
        <v>143</v>
      </c>
      <c r="Q29" s="34">
        <v>89</v>
      </c>
      <c r="R29" s="34">
        <v>13.8</v>
      </c>
    </row>
    <row r="30" spans="1:19" x14ac:dyDescent="0.25">
      <c r="A30" s="34" t="s">
        <v>187</v>
      </c>
      <c r="B30" s="35">
        <v>38665</v>
      </c>
      <c r="C30" s="35">
        <v>38691</v>
      </c>
      <c r="D30" s="34">
        <v>61</v>
      </c>
      <c r="E30" s="34" t="s">
        <v>85</v>
      </c>
      <c r="F30" s="34">
        <v>142</v>
      </c>
      <c r="G30" s="34">
        <v>6.54</v>
      </c>
      <c r="H30" s="34">
        <v>146</v>
      </c>
      <c r="I30" s="34">
        <v>123</v>
      </c>
      <c r="J30" s="34">
        <v>141</v>
      </c>
      <c r="K30" s="34">
        <v>39</v>
      </c>
      <c r="L30" s="34">
        <v>0.9</v>
      </c>
      <c r="M30" s="34">
        <v>1</v>
      </c>
      <c r="N30" s="34">
        <v>105</v>
      </c>
      <c r="O30" s="34">
        <v>260</v>
      </c>
      <c r="P30" s="34">
        <v>138</v>
      </c>
      <c r="Q30" s="34">
        <v>76</v>
      </c>
      <c r="R30" s="34">
        <v>15.4</v>
      </c>
    </row>
    <row r="31" spans="1:19" x14ac:dyDescent="0.25">
      <c r="A31" s="34" t="s">
        <v>188</v>
      </c>
      <c r="B31" s="35">
        <v>38446</v>
      </c>
      <c r="C31" s="35">
        <v>38504</v>
      </c>
      <c r="D31" s="34">
        <v>50</v>
      </c>
      <c r="E31" s="34" t="s">
        <v>85</v>
      </c>
      <c r="F31" s="34">
        <v>135</v>
      </c>
      <c r="G31" s="34">
        <v>4.01</v>
      </c>
      <c r="H31" s="34">
        <v>181</v>
      </c>
      <c r="I31" s="34">
        <v>42</v>
      </c>
      <c r="J31" s="34">
        <v>40</v>
      </c>
      <c r="K31" s="34"/>
      <c r="L31" s="34">
        <v>0.9</v>
      </c>
      <c r="M31" s="34">
        <v>0.6</v>
      </c>
      <c r="N31" s="34">
        <v>10</v>
      </c>
      <c r="O31" s="34">
        <v>99</v>
      </c>
      <c r="P31" s="34">
        <v>140</v>
      </c>
      <c r="Q31" s="34">
        <v>91</v>
      </c>
      <c r="R31" s="34">
        <v>12</v>
      </c>
    </row>
    <row r="32" spans="1:19" x14ac:dyDescent="0.25">
      <c r="A32" s="34" t="s">
        <v>189</v>
      </c>
      <c r="B32" s="35">
        <v>38742</v>
      </c>
      <c r="C32" s="35">
        <v>38810</v>
      </c>
      <c r="D32" s="34">
        <v>46</v>
      </c>
      <c r="E32" s="34" t="s">
        <v>80</v>
      </c>
      <c r="F32" s="34">
        <v>153</v>
      </c>
      <c r="G32" s="34">
        <v>6.49</v>
      </c>
      <c r="H32" s="34">
        <v>153</v>
      </c>
      <c r="I32" s="34">
        <v>39</v>
      </c>
      <c r="J32" s="34">
        <v>88</v>
      </c>
      <c r="K32" s="34">
        <v>48</v>
      </c>
      <c r="L32" s="34">
        <v>1</v>
      </c>
      <c r="M32" s="34">
        <v>0.6</v>
      </c>
      <c r="N32" s="34">
        <v>37</v>
      </c>
      <c r="O32" s="34">
        <v>168</v>
      </c>
      <c r="P32" s="34">
        <v>140</v>
      </c>
      <c r="Q32" s="34">
        <v>100</v>
      </c>
      <c r="R32" s="34">
        <v>12.4</v>
      </c>
    </row>
    <row r="33" spans="1:18" x14ac:dyDescent="0.25">
      <c r="A33" s="34" t="s">
        <v>190</v>
      </c>
      <c r="B33" s="35">
        <v>38419</v>
      </c>
      <c r="C33" s="35">
        <v>38808</v>
      </c>
      <c r="D33" s="34">
        <v>35</v>
      </c>
      <c r="E33" s="34" t="s">
        <v>80</v>
      </c>
      <c r="F33" s="34">
        <v>164</v>
      </c>
      <c r="G33" s="34">
        <v>6.68</v>
      </c>
      <c r="H33" s="34">
        <v>220</v>
      </c>
      <c r="I33" s="34">
        <v>54</v>
      </c>
      <c r="J33" s="34">
        <v>122</v>
      </c>
      <c r="K33" s="34"/>
      <c r="L33" s="34">
        <v>1.1000000000000001</v>
      </c>
      <c r="M33" s="34">
        <v>0.6</v>
      </c>
      <c r="N33" s="34">
        <v>44</v>
      </c>
      <c r="O33" s="34">
        <v>156</v>
      </c>
      <c r="P33" s="34">
        <v>143</v>
      </c>
      <c r="Q33" s="34">
        <v>92</v>
      </c>
      <c r="R33" s="34">
        <v>13.6</v>
      </c>
    </row>
    <row r="34" spans="1:18" x14ac:dyDescent="0.25">
      <c r="A34" s="34" t="s">
        <v>191</v>
      </c>
      <c r="B34" s="35">
        <v>38506</v>
      </c>
      <c r="C34" s="35">
        <v>38495</v>
      </c>
      <c r="D34" s="34">
        <v>40</v>
      </c>
      <c r="E34" s="34" t="s">
        <v>85</v>
      </c>
      <c r="F34" s="34">
        <v>142</v>
      </c>
      <c r="G34" s="34">
        <v>5.76</v>
      </c>
      <c r="H34" s="34">
        <v>209</v>
      </c>
      <c r="I34" s="34">
        <v>54</v>
      </c>
      <c r="J34" s="34">
        <v>85</v>
      </c>
      <c r="K34" s="34">
        <v>44</v>
      </c>
      <c r="L34" s="34">
        <v>1</v>
      </c>
      <c r="M34" s="34">
        <v>0.7</v>
      </c>
      <c r="N34" s="34">
        <v>25</v>
      </c>
      <c r="O34" s="34">
        <v>122</v>
      </c>
      <c r="P34" s="34">
        <v>142</v>
      </c>
      <c r="Q34" s="34">
        <v>99</v>
      </c>
      <c r="R34" s="34">
        <v>13.1</v>
      </c>
    </row>
    <row r="35" spans="1:18" x14ac:dyDescent="0.25">
      <c r="A35" s="34" t="s">
        <v>192</v>
      </c>
      <c r="B35" s="35">
        <v>38474</v>
      </c>
      <c r="C35" s="35">
        <v>38498</v>
      </c>
      <c r="D35" s="34">
        <v>45</v>
      </c>
      <c r="E35" s="34" t="s">
        <v>80</v>
      </c>
      <c r="F35" s="34">
        <v>169</v>
      </c>
      <c r="G35" s="34">
        <v>6.3</v>
      </c>
      <c r="H35" s="34">
        <v>245</v>
      </c>
      <c r="I35" s="34">
        <v>33</v>
      </c>
      <c r="J35" s="34">
        <v>41</v>
      </c>
      <c r="K35" s="34">
        <v>44</v>
      </c>
      <c r="L35" s="34">
        <v>1.1000000000000001</v>
      </c>
      <c r="M35" s="34">
        <v>1.4</v>
      </c>
      <c r="N35" s="34">
        <v>36</v>
      </c>
      <c r="O35" s="34">
        <v>174</v>
      </c>
      <c r="P35" s="34">
        <v>142</v>
      </c>
      <c r="Q35" s="34">
        <v>100</v>
      </c>
      <c r="R35" s="34">
        <v>12.9</v>
      </c>
    </row>
    <row r="36" spans="1:18" x14ac:dyDescent="0.25">
      <c r="A36" s="34" t="s">
        <v>193</v>
      </c>
      <c r="B36" s="35">
        <v>38749</v>
      </c>
      <c r="C36" s="35">
        <v>38756</v>
      </c>
      <c r="D36" s="34">
        <v>46</v>
      </c>
      <c r="E36" s="34" t="s">
        <v>80</v>
      </c>
      <c r="F36" s="34">
        <v>154</v>
      </c>
      <c r="G36" s="34">
        <v>6.1</v>
      </c>
      <c r="H36" s="34">
        <v>255</v>
      </c>
      <c r="I36" s="34">
        <v>44</v>
      </c>
      <c r="J36" s="34">
        <v>73</v>
      </c>
      <c r="K36" s="34">
        <v>44</v>
      </c>
      <c r="L36" s="34">
        <v>1.1000000000000001</v>
      </c>
      <c r="M36" s="34">
        <v>0.6</v>
      </c>
      <c r="N36" s="34">
        <v>22</v>
      </c>
      <c r="O36" s="34">
        <v>156</v>
      </c>
      <c r="P36" s="34">
        <v>145</v>
      </c>
      <c r="Q36" s="34">
        <v>97</v>
      </c>
      <c r="R36" s="34">
        <v>13.5</v>
      </c>
    </row>
    <row r="37" spans="1:18" x14ac:dyDescent="0.25">
      <c r="F37">
        <f>AVERAGE(F27:F36)</f>
        <v>150.9</v>
      </c>
      <c r="G37">
        <f t="shared" ref="G37:R37" si="2">AVERAGE(G27:G36)</f>
        <v>6.3379999999999992</v>
      </c>
      <c r="H37">
        <f t="shared" si="2"/>
        <v>213.3</v>
      </c>
      <c r="I37">
        <f t="shared" si="2"/>
        <v>58.8</v>
      </c>
      <c r="J37">
        <f t="shared" si="2"/>
        <v>85.1</v>
      </c>
      <c r="K37">
        <f t="shared" si="2"/>
        <v>44.125</v>
      </c>
      <c r="L37">
        <f t="shared" si="2"/>
        <v>1.03</v>
      </c>
      <c r="M37">
        <f t="shared" si="2"/>
        <v>0.8899999999999999</v>
      </c>
      <c r="N37">
        <f t="shared" si="2"/>
        <v>40.700000000000003</v>
      </c>
      <c r="O37">
        <f t="shared" si="2"/>
        <v>177.5</v>
      </c>
      <c r="P37">
        <f t="shared" si="2"/>
        <v>142</v>
      </c>
      <c r="Q37">
        <f t="shared" si="2"/>
        <v>93.2</v>
      </c>
      <c r="R37">
        <f t="shared" si="2"/>
        <v>13.36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</vt:lpstr>
      <vt:lpstr>Sheet3</vt:lpstr>
      <vt:lpstr>Age</vt:lpstr>
      <vt:lpstr>Sheet5</vt:lpstr>
      <vt:lpstr>Sheet6</vt:lpstr>
      <vt:lpstr>Sheet7</vt:lpstr>
      <vt:lpstr>Sheet1</vt:lpstr>
      <vt:lpstr>Sheet4</vt:lpstr>
      <vt:lpstr>Group ABC</vt:lpstr>
      <vt:lpstr>Group D</vt:lpstr>
      <vt:lpstr>Sheet2</vt:lpstr>
      <vt:lpstr>Group I</vt:lpstr>
      <vt:lpstr>Group E</vt:lpstr>
      <vt:lpstr>Group FGH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Josepmaria Argemi</dc:creator>
  <cp:lastModifiedBy>Alexandra Manchel</cp:lastModifiedBy>
  <dcterms:created xsi:type="dcterms:W3CDTF">2018-06-13T21:13:17Z</dcterms:created>
  <dcterms:modified xsi:type="dcterms:W3CDTF">2024-07-19T14:18:10Z</dcterms:modified>
</cp:coreProperties>
</file>